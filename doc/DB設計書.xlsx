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ianx\workspaces\money_nest_app\doc\"/>
    </mc:Choice>
  </mc:AlternateContent>
  <xr:revisionPtr revIDLastSave="0" documentId="13_ncr:1_{441983B8-9E29-4733-AD40-86003064F3FD}" xr6:coauthVersionLast="47" xr6:coauthVersionMax="47" xr10:uidLastSave="{00000000-0000-0000-0000-000000000000}"/>
  <bookViews>
    <workbookView xWindow="-103" yWindow="-103" windowWidth="24892" windowHeight="14914" firstSheet="10" activeTab="14" xr2:uid="{00000000-000D-0000-FFFF-FFFF00000000}"/>
  </bookViews>
  <sheets>
    <sheet name="更新履歴" sheetId="1" r:id="rId1"/>
    <sheet name="Sheet1" sheetId="166" r:id="rId2"/>
    <sheet name="Sheet2" sheetId="167" r:id="rId3"/>
    <sheet name="テーブル一覧" sheetId="2" r:id="rId4"/>
    <sheet name="accounts" sheetId="156" r:id="rId5"/>
    <sheet name="sector_industry_master" sheetId="165" r:id="rId6"/>
    <sheet name="stocks" sheetId="159" r:id="rId7"/>
    <sheet name="stock_prices" sheetId="164" r:id="rId8"/>
    <sheet name="trade_records" sheetId="160" r:id="rId9"/>
    <sheet name="trade_sell_mappings" sheetId="161" r:id="rId10"/>
    <sheet name="account_balances" sheetId="171" r:id="rId11"/>
    <sheet name="cash_transactions" sheetId="172" r:id="rId12"/>
    <sheet name="custom_asset_categories" sheetId="173" r:id="rId13"/>
    <sheet name="custom_assets" sheetId="174" r:id="rId14"/>
    <sheet name="custom_asset_history" sheetId="175" r:id="rId15"/>
    <sheet name="fx_pairs" sheetId="162" r:id="rId16"/>
    <sheet name="fx_rates" sheetId="163" r:id="rId17"/>
    <sheet name="insert_trade_and_update_account" sheetId="168" r:id="rId18"/>
    <sheet name="update_trade_and_update_account" sheetId="169" r:id="rId19"/>
    <sheet name="delete_trade_and_update_account" sheetId="170" r:id="rId20"/>
    <sheet name="テーブル定義テンプレート" sheetId="3" r:id="rId2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60" roundtripDataChecksum="HMwy/hYrfPly226Qw93bW+TSmHsC1cxcnbPvBYOn4lY="/>
    </ext>
  </extLst>
</workbook>
</file>

<file path=xl/calcChain.xml><?xml version="1.0" encoding="utf-8"?>
<calcChain xmlns="http://schemas.openxmlformats.org/spreadsheetml/2006/main">
  <c r="B13" i="175" l="1"/>
  <c r="B12" i="175"/>
  <c r="B11" i="175"/>
  <c r="B10" i="175"/>
  <c r="B9" i="175"/>
  <c r="B8" i="175"/>
  <c r="B12" i="174"/>
  <c r="B10" i="174"/>
  <c r="B14" i="174"/>
  <c r="B13" i="174"/>
  <c r="B11" i="174"/>
  <c r="B9" i="174"/>
  <c r="B8" i="174"/>
  <c r="B12" i="173"/>
  <c r="B11" i="173"/>
  <c r="B10" i="173"/>
  <c r="B9" i="173"/>
  <c r="B8" i="173"/>
  <c r="B16" i="172"/>
  <c r="B15" i="172"/>
  <c r="B14" i="172"/>
  <c r="B13" i="172"/>
  <c r="B12" i="172"/>
  <c r="B11" i="172"/>
  <c r="B10" i="172"/>
  <c r="B9" i="172"/>
  <c r="B8" i="172"/>
  <c r="B13" i="171"/>
  <c r="B12" i="171"/>
  <c r="B11" i="171"/>
  <c r="B10" i="171"/>
  <c r="B9" i="171"/>
  <c r="B8" i="171"/>
  <c r="B13" i="156"/>
  <c r="B20" i="159"/>
  <c r="B15" i="165"/>
  <c r="B14" i="165"/>
  <c r="B13" i="165"/>
  <c r="B12" i="165"/>
  <c r="B11" i="165"/>
  <c r="B10" i="165"/>
  <c r="B9" i="165"/>
  <c r="B8" i="165"/>
  <c r="B12" i="164"/>
  <c r="B11" i="164"/>
  <c r="B10" i="164"/>
  <c r="B9" i="164"/>
  <c r="B8" i="164"/>
  <c r="B11" i="163"/>
  <c r="B10" i="163"/>
  <c r="B9" i="163"/>
  <c r="B8" i="163"/>
  <c r="B12" i="162"/>
  <c r="B11" i="162"/>
  <c r="B10" i="162"/>
  <c r="B9" i="162"/>
  <c r="B8" i="162"/>
  <c r="B11" i="161"/>
  <c r="B10" i="161"/>
  <c r="B9" i="161"/>
  <c r="B8" i="161"/>
  <c r="B27" i="160"/>
  <c r="B26" i="160"/>
  <c r="B25" i="160"/>
  <c r="B24" i="160"/>
  <c r="B23" i="160"/>
  <c r="B22" i="160"/>
  <c r="B21" i="160"/>
  <c r="B20" i="160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18" i="159"/>
  <c r="B19" i="159"/>
  <c r="B22" i="159"/>
  <c r="B21" i="159"/>
  <c r="B17" i="159"/>
  <c r="B16" i="159"/>
  <c r="B15" i="159"/>
  <c r="B14" i="159"/>
  <c r="B13" i="159"/>
  <c r="B12" i="159"/>
  <c r="B11" i="159"/>
  <c r="B10" i="159"/>
  <c r="B9" i="159"/>
  <c r="B8" i="159"/>
  <c r="B12" i="156"/>
  <c r="B11" i="156"/>
  <c r="B10" i="156"/>
  <c r="B9" i="156"/>
  <c r="B8" i="156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<sst xmlns="http://schemas.openxmlformats.org/spreadsheetml/2006/main" count="1192" uniqueCount="574">
  <si>
    <t>バージョン</t>
  </si>
  <si>
    <t>更新日</t>
  </si>
  <si>
    <t>更新者</t>
  </si>
  <si>
    <t>更新内容</t>
  </si>
  <si>
    <t>新規作成</t>
  </si>
  <si>
    <t>※シートを追加した場合は、こちらの一覧にも記載してください。</t>
  </si>
  <si>
    <t>物理名</t>
  </si>
  <si>
    <t>論理名</t>
  </si>
  <si>
    <t>テーブル名</t>
  </si>
  <si>
    <t>テーブル物理名</t>
  </si>
  <si>
    <t>stocks</t>
  </si>
  <si>
    <t>簡単な説明</t>
  </si>
  <si>
    <t>No</t>
  </si>
  <si>
    <t>外部キー</t>
  </si>
  <si>
    <t>索引キー</t>
  </si>
  <si>
    <t>データ型</t>
  </si>
  <si>
    <t>ユニーク</t>
  </si>
  <si>
    <t>デフォルト値</t>
  </si>
  <si>
    <t>NOT NULL
 制約</t>
  </si>
  <si>
    <t>参照先</t>
  </si>
  <si>
    <t>備考</t>
  </si>
  <si>
    <t>ID</t>
  </si>
  <si>
    <t>id</t>
  </si>
  <si>
    <t>PK</t>
  </si>
  <si>
    <t>bigint</t>
  </si>
  <si>
    <t>●</t>
  </si>
  <si>
    <t>登録者ID</t>
  </si>
  <si>
    <t>created_by</t>
  </si>
  <si>
    <t>登録者IDタイプ</t>
  </si>
  <si>
    <t>created_by_type</t>
  </si>
  <si>
    <t>varchar</t>
  </si>
  <si>
    <t>Railsのポリモーフィック関連付け</t>
  </si>
  <si>
    <t>更新者ID</t>
  </si>
  <si>
    <t>updated_by</t>
  </si>
  <si>
    <t>更新者IDタイプ</t>
  </si>
  <si>
    <t>updated_by_type</t>
  </si>
  <si>
    <t>登録日</t>
  </si>
  <si>
    <t>created_at</t>
  </si>
  <si>
    <t>datetime</t>
  </si>
  <si>
    <t>-</t>
  </si>
  <si>
    <t>updated_at</t>
  </si>
  <si>
    <t>熊</t>
    <rPh sb="0" eb="1">
      <t>クマ</t>
    </rPh>
    <phoneticPr fontId="2"/>
  </si>
  <si>
    <t>accounts</t>
  </si>
  <si>
    <t>accounts</t>
    <phoneticPr fontId="2"/>
  </si>
  <si>
    <t>アカウント情報</t>
    <rPh sb="5" eb="7">
      <t>ジョウホウ</t>
    </rPh>
    <phoneticPr fontId="2"/>
  </si>
  <si>
    <t>id</t>
    <phoneticPr fontId="2"/>
  </si>
  <si>
    <t>user_id</t>
    <phoneticPr fontId="2"/>
  </si>
  <si>
    <t>name</t>
    <phoneticPr fontId="2"/>
  </si>
  <si>
    <t>type</t>
    <phoneticPr fontId="2"/>
  </si>
  <si>
    <t>created_at</t>
    <phoneticPr fontId="2"/>
  </si>
  <si>
    <t>bigserial</t>
    <phoneticPr fontId="2"/>
  </si>
  <si>
    <t>uuid</t>
    <phoneticPr fontId="2"/>
  </si>
  <si>
    <t>●</t>
    <phoneticPr fontId="2"/>
  </si>
  <si>
    <t>text</t>
    <phoneticPr fontId="2"/>
  </si>
  <si>
    <t>timestamp with time zone</t>
    <phoneticPr fontId="2"/>
  </si>
  <si>
    <t>ユーザーID</t>
    <phoneticPr fontId="2"/>
  </si>
  <si>
    <t>アカウント名</t>
    <rPh sb="5" eb="6">
      <t>メイ</t>
    </rPh>
    <phoneticPr fontId="2"/>
  </si>
  <si>
    <t>アカウント種別</t>
    <rPh sb="5" eb="7">
      <t>シュベツ</t>
    </rPh>
    <phoneticPr fontId="2"/>
  </si>
  <si>
    <t>登録日時</t>
    <rPh sb="0" eb="2">
      <t>トウロク</t>
    </rPh>
    <rPh sb="2" eb="4">
      <t>ニチジ</t>
    </rPh>
    <phoneticPr fontId="2"/>
  </si>
  <si>
    <t>now()</t>
    <phoneticPr fontId="2"/>
  </si>
  <si>
    <t>auth.users (id)</t>
    <phoneticPr fontId="2"/>
  </si>
  <si>
    <t>コード値</t>
    <rPh sb="3" eb="4">
      <t>アタイ</t>
    </rPh>
    <phoneticPr fontId="2"/>
  </si>
  <si>
    <t>種別</t>
    <rPh sb="0" eb="2">
      <t>シュベツ</t>
    </rPh>
    <phoneticPr fontId="2"/>
  </si>
  <si>
    <t>表示順</t>
    <rPh sb="0" eb="3">
      <t>ヒョウジジュン</t>
    </rPh>
    <phoneticPr fontId="2"/>
  </si>
  <si>
    <t>smallint</t>
    <phoneticPr fontId="2"/>
  </si>
  <si>
    <t>display_order</t>
    <phoneticPr fontId="2"/>
  </si>
  <si>
    <t>bigint</t>
    <phoneticPr fontId="2"/>
  </si>
  <si>
    <t>stocks</t>
    <phoneticPr fontId="2"/>
  </si>
  <si>
    <t>ticker</t>
    <phoneticPr fontId="2"/>
  </si>
  <si>
    <t>exchange</t>
    <phoneticPr fontId="2"/>
  </si>
  <si>
    <t>name_us</t>
    <phoneticPr fontId="2"/>
  </si>
  <si>
    <t>currency</t>
    <phoneticPr fontId="2"/>
  </si>
  <si>
    <t>country</t>
    <phoneticPr fontId="2"/>
  </si>
  <si>
    <t>sector_industry_id</t>
    <phoneticPr fontId="2"/>
  </si>
  <si>
    <t>logo</t>
    <phoneticPr fontId="2"/>
  </si>
  <si>
    <t>status</t>
    <phoneticPr fontId="2"/>
  </si>
  <si>
    <t>updated_at</t>
    <phoneticPr fontId="2"/>
  </si>
  <si>
    <t>取引所</t>
    <rPh sb="0" eb="3">
      <t>トリヒキジョ</t>
    </rPh>
    <phoneticPr fontId="2"/>
  </si>
  <si>
    <t>名称（英語）</t>
    <rPh sb="0" eb="2">
      <t>メイショウ</t>
    </rPh>
    <rPh sb="3" eb="5">
      <t>エイゴ</t>
    </rPh>
    <phoneticPr fontId="2"/>
  </si>
  <si>
    <t>名称（日本語）</t>
    <rPh sb="0" eb="2">
      <t>メイショウ</t>
    </rPh>
    <rPh sb="3" eb="6">
      <t>ニホンゴ</t>
    </rPh>
    <phoneticPr fontId="2"/>
  </si>
  <si>
    <t>通貨</t>
    <rPh sb="0" eb="2">
      <t>ツウカ</t>
    </rPh>
    <phoneticPr fontId="2"/>
  </si>
  <si>
    <t>国</t>
    <rPh sb="0" eb="1">
      <t>クニ</t>
    </rPh>
    <phoneticPr fontId="2"/>
  </si>
  <si>
    <t>セクター・産業ID</t>
    <rPh sb="5" eb="7">
      <t>サンギョウ</t>
    </rPh>
    <phoneticPr fontId="2"/>
  </si>
  <si>
    <t>ロゴ</t>
    <phoneticPr fontId="2"/>
  </si>
  <si>
    <t>ステータス</t>
    <phoneticPr fontId="2"/>
  </si>
  <si>
    <t>登録日時</t>
    <rPh sb="0" eb="4">
      <t>トウロクニチジ</t>
    </rPh>
    <phoneticPr fontId="2"/>
  </si>
  <si>
    <t>更新日時</t>
    <rPh sb="0" eb="2">
      <t>コウシン</t>
    </rPh>
    <rPh sb="2" eb="4">
      <t>ニチジ</t>
    </rPh>
    <phoneticPr fontId="2"/>
  </si>
  <si>
    <t>last_price</t>
    <phoneticPr fontId="2"/>
  </si>
  <si>
    <t>last_price_at</t>
    <phoneticPr fontId="2"/>
  </si>
  <si>
    <t>最新価格</t>
    <rPh sb="0" eb="2">
      <t>サイシン</t>
    </rPh>
    <rPh sb="2" eb="4">
      <t>カカク</t>
    </rPh>
    <phoneticPr fontId="2"/>
  </si>
  <si>
    <t>最新価格取得日時</t>
    <rPh sb="0" eb="2">
      <t>サイシン</t>
    </rPh>
    <rPh sb="2" eb="4">
      <t>カカク</t>
    </rPh>
    <rPh sb="4" eb="6">
      <t>シュトク</t>
    </rPh>
    <rPh sb="6" eb="8">
      <t>ニチジ</t>
    </rPh>
    <phoneticPr fontId="2"/>
  </si>
  <si>
    <t>numeric</t>
    <phoneticPr fontId="2"/>
  </si>
  <si>
    <t>sector_industry_master (id)</t>
    <phoneticPr fontId="2"/>
  </si>
  <si>
    <t>active/delisted/suspended</t>
    <phoneticPr fontId="2"/>
  </si>
  <si>
    <t>trade_records</t>
  </si>
  <si>
    <t>trade_records</t>
    <phoneticPr fontId="2"/>
  </si>
  <si>
    <t>取引レコード</t>
    <rPh sb="0" eb="2">
      <t>トリヒキ</t>
    </rPh>
    <phoneticPr fontId="2"/>
  </si>
  <si>
    <t>account_id</t>
    <phoneticPr fontId="2"/>
  </si>
  <si>
    <t>asset_type</t>
    <phoneticPr fontId="2"/>
  </si>
  <si>
    <t>asset_id</t>
    <phoneticPr fontId="2"/>
  </si>
  <si>
    <t>trade_date</t>
    <phoneticPr fontId="2"/>
  </si>
  <si>
    <t>action</t>
    <phoneticPr fontId="2"/>
  </si>
  <si>
    <t>trade_type</t>
    <phoneticPr fontId="2"/>
  </si>
  <si>
    <t>position_type</t>
    <phoneticPr fontId="2"/>
  </si>
  <si>
    <t>quantity</t>
    <phoneticPr fontId="2"/>
  </si>
  <si>
    <t>price</t>
    <phoneticPr fontId="2"/>
  </si>
  <si>
    <t>leverage</t>
    <phoneticPr fontId="2"/>
  </si>
  <si>
    <t>swap_amount</t>
    <phoneticPr fontId="2"/>
  </si>
  <si>
    <t>swap_currency</t>
    <phoneticPr fontId="2"/>
  </si>
  <si>
    <t>fee_amount</t>
    <phoneticPr fontId="2"/>
  </si>
  <si>
    <t>fee_currency</t>
    <phoneticPr fontId="2"/>
  </si>
  <si>
    <t>manual_rate_input</t>
    <phoneticPr fontId="2"/>
  </si>
  <si>
    <t>remark</t>
    <phoneticPr fontId="2"/>
  </si>
  <si>
    <t>アカウントID</t>
    <phoneticPr fontId="2"/>
  </si>
  <si>
    <t>資産種別</t>
    <rPh sb="0" eb="2">
      <t>シサン</t>
    </rPh>
    <rPh sb="2" eb="4">
      <t>シュベツ</t>
    </rPh>
    <phoneticPr fontId="2"/>
  </si>
  <si>
    <t>stock/fx/crypto/metal</t>
    <phoneticPr fontId="2"/>
  </si>
  <si>
    <t>資産ID</t>
    <rPh sb="0" eb="2">
      <t>シサン</t>
    </rPh>
    <phoneticPr fontId="2"/>
  </si>
  <si>
    <t>取引日</t>
    <rPh sb="0" eb="3">
      <t>トリヒキビ</t>
    </rPh>
    <phoneticPr fontId="2"/>
  </si>
  <si>
    <t>アクション</t>
    <phoneticPr fontId="2"/>
  </si>
  <si>
    <t>buy/sell</t>
    <phoneticPr fontId="2"/>
  </si>
  <si>
    <t>口座種別</t>
    <rPh sb="0" eb="2">
      <t>コウザ</t>
    </rPh>
    <rPh sb="2" eb="4">
      <t>シュベツ</t>
    </rPh>
    <phoneticPr fontId="2"/>
  </si>
  <si>
    <t>normal/special/nisa</t>
    <phoneticPr fontId="2"/>
  </si>
  <si>
    <t>ポジション種別</t>
    <rPh sb="5" eb="7">
      <t>シュベツ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</si>
  <si>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</si>
  <si>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</si>
  <si>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レバレッジ倍数</t>
    <rPh sb="5" eb="7">
      <t>バイスウ</t>
    </rPh>
    <phoneticPr fontId="2"/>
  </si>
  <si>
    <t>スワップ数</t>
    <rPh sb="4" eb="5">
      <t>スウ</t>
    </rPh>
    <phoneticPr fontId="2"/>
  </si>
  <si>
    <t>スワップ通貨</t>
    <rPh sb="4" eb="6">
      <t>ツウカ</t>
    </rPh>
    <phoneticPr fontId="2"/>
  </si>
  <si>
    <t>手数料</t>
    <rPh sb="0" eb="3">
      <t>テスウリョウ</t>
    </rPh>
    <phoneticPr fontId="2"/>
  </si>
  <si>
    <t>手数料通貨</t>
    <rPh sb="0" eb="3">
      <t>テスウリョウ</t>
    </rPh>
    <rPh sb="3" eb="5">
      <t>ツウカ</t>
    </rPh>
    <phoneticPr fontId="2"/>
  </si>
  <si>
    <t>手動レート入力</t>
    <rPh sb="0" eb="2">
      <t>シュドウ</t>
    </rPh>
    <rPh sb="5" eb="7">
      <t>ニュウリョク</t>
    </rPh>
    <phoneticPr fontId="2"/>
  </si>
  <si>
    <t>備考</t>
    <rPh sb="0" eb="2">
      <t>ビコウ</t>
    </rPh>
    <phoneticPr fontId="2"/>
  </si>
  <si>
    <t>更新日時</t>
    <rPh sb="0" eb="4">
      <t>コウシンニチジ</t>
    </rPh>
    <phoneticPr fontId="2"/>
  </si>
  <si>
    <t>date</t>
    <phoneticPr fontId="2"/>
  </si>
  <si>
    <t>numeric(18, 6)</t>
    <phoneticPr fontId="2"/>
  </si>
  <si>
    <t>numeric(10, 2)</t>
    <phoneticPr fontId="2"/>
  </si>
  <si>
    <t>boolean</t>
    <phoneticPr fontId="2"/>
  </si>
  <si>
    <t>accounts (id)</t>
    <phoneticPr fontId="2"/>
  </si>
  <si>
    <t>long/short</t>
    <phoneticPr fontId="2"/>
  </si>
  <si>
    <t>trade_sell_mappings</t>
  </si>
  <si>
    <t>trade_sell_mappings</t>
    <phoneticPr fontId="2"/>
  </si>
  <si>
    <t>取引売却マッピング</t>
    <rPh sb="0" eb="2">
      <t>トリヒキ</t>
    </rPh>
    <rPh sb="2" eb="4">
      <t>バイキャク</t>
    </rPh>
    <phoneticPr fontId="2"/>
  </si>
  <si>
    <t>buy_id</t>
    <phoneticPr fontId="2"/>
  </si>
  <si>
    <t>sell_id</t>
    <phoneticPr fontId="2"/>
  </si>
  <si>
    <t>買い取引ID</t>
    <rPh sb="0" eb="1">
      <t>カ</t>
    </rPh>
    <rPh sb="2" eb="4">
      <t>トリヒキ</t>
    </rPh>
    <phoneticPr fontId="2"/>
  </si>
  <si>
    <t>売り取引ID</t>
    <rPh sb="0" eb="1">
      <t>ウ</t>
    </rPh>
    <rPh sb="2" eb="4">
      <t>トリヒキ</t>
    </rPh>
    <phoneticPr fontId="2"/>
  </si>
  <si>
    <t>trade_records (id)</t>
    <phoneticPr fontId="2"/>
  </si>
  <si>
    <t>アカウント情報</t>
    <phoneticPr fontId="2"/>
  </si>
  <si>
    <t>株式情報</t>
    <rPh sb="0" eb="2">
      <t>カブシキ</t>
    </rPh>
    <rPh sb="2" eb="4">
      <t>ジョウホウ</t>
    </rPh>
    <phoneticPr fontId="2"/>
  </si>
  <si>
    <t>株式情報</t>
    <phoneticPr fontId="2"/>
  </si>
  <si>
    <t>取引レコード</t>
    <phoneticPr fontId="2"/>
  </si>
  <si>
    <t>取引売却マッピング</t>
    <phoneticPr fontId="2"/>
  </si>
  <si>
    <t>fx_pairs</t>
  </si>
  <si>
    <t>fx_pairs</t>
    <phoneticPr fontId="2"/>
  </si>
  <si>
    <t>為替ペア</t>
    <rPh sb="0" eb="2">
      <t>カワセ</t>
    </rPh>
    <phoneticPr fontId="2"/>
  </si>
  <si>
    <t>base_currency</t>
    <phoneticPr fontId="2"/>
  </si>
  <si>
    <t>quote_currency</t>
    <phoneticPr fontId="2"/>
  </si>
  <si>
    <t>symbol</t>
    <phoneticPr fontId="2"/>
  </si>
  <si>
    <t>is_active</t>
    <phoneticPr fontId="2"/>
  </si>
  <si>
    <t>基準通貨</t>
    <rPh sb="0" eb="2">
      <t>キジュン</t>
    </rPh>
    <rPh sb="2" eb="4">
      <t>ツウカ</t>
    </rPh>
    <phoneticPr fontId="2"/>
  </si>
  <si>
    <t>変換先通貨</t>
    <rPh sb="0" eb="2">
      <t>ヘンカン</t>
    </rPh>
    <rPh sb="2" eb="3">
      <t>サキ</t>
    </rPh>
    <rPh sb="3" eb="5">
      <t>ツウカ</t>
    </rPh>
    <phoneticPr fontId="2"/>
  </si>
  <si>
    <t>シンボル</t>
    <phoneticPr fontId="2"/>
  </si>
  <si>
    <t>活性状態</t>
    <rPh sb="0" eb="2">
      <t>カッセイ</t>
    </rPh>
    <rPh sb="2" eb="4">
      <t>ジョウタイ</t>
    </rPh>
    <phoneticPr fontId="2"/>
  </si>
  <si>
    <t>base_currency || '/' || quote_currency</t>
    <phoneticPr fontId="2"/>
  </si>
  <si>
    <t>fx_rates</t>
  </si>
  <si>
    <t>fx_rates</t>
    <phoneticPr fontId="2"/>
  </si>
  <si>
    <t>為替レート</t>
    <rPh sb="0" eb="2">
      <t>カワセ</t>
    </rPh>
    <phoneticPr fontId="2"/>
  </si>
  <si>
    <t>fx_pair_id</t>
    <phoneticPr fontId="2"/>
  </si>
  <si>
    <t>rate_date</t>
    <phoneticPr fontId="2"/>
  </si>
  <si>
    <t>rate</t>
    <phoneticPr fontId="2"/>
  </si>
  <si>
    <t>為替ペアID</t>
    <rPh sb="0" eb="2">
      <t>カワセ</t>
    </rPh>
    <phoneticPr fontId="2"/>
  </si>
  <si>
    <t>レート基準日</t>
    <rPh sb="3" eb="6">
      <t>キジュンビ</t>
    </rPh>
    <phoneticPr fontId="2"/>
  </si>
  <si>
    <t>レート</t>
    <phoneticPr fontId="2"/>
  </si>
  <si>
    <t>fx_pairs (id)</t>
    <phoneticPr fontId="2"/>
  </si>
  <si>
    <t>stock_prices</t>
  </si>
  <si>
    <t>stock_prices</t>
    <phoneticPr fontId="2"/>
  </si>
  <si>
    <t>株価履歴</t>
    <rPh sb="0" eb="2">
      <t>カブカ</t>
    </rPh>
    <rPh sb="2" eb="4">
      <t>リレキ</t>
    </rPh>
    <phoneticPr fontId="2"/>
  </si>
  <si>
    <t>stock_id</t>
    <phoneticPr fontId="2"/>
  </si>
  <si>
    <t>price_at</t>
    <phoneticPr fontId="2"/>
  </si>
  <si>
    <t>stocks (id)</t>
    <phoneticPr fontId="2"/>
  </si>
  <si>
    <t>sector_industry_master</t>
  </si>
  <si>
    <t>sector_industry_master</t>
    <phoneticPr fontId="2"/>
  </si>
  <si>
    <t>セクター・産業マスター</t>
    <rPh sb="5" eb="7">
      <t>サンギョウ</t>
    </rPh>
    <phoneticPr fontId="2"/>
  </si>
  <si>
    <t>sector_id</t>
    <phoneticPr fontId="2"/>
  </si>
  <si>
    <t>industry_id</t>
    <phoneticPr fontId="2"/>
  </si>
  <si>
    <t>sector_name</t>
    <phoneticPr fontId="2"/>
  </si>
  <si>
    <t>sector_name_us</t>
    <phoneticPr fontId="2"/>
  </si>
  <si>
    <t>industry_name</t>
    <phoneticPr fontId="2"/>
  </si>
  <si>
    <t>industry_name_us</t>
    <phoneticPr fontId="2"/>
  </si>
  <si>
    <t>セクターID</t>
    <phoneticPr fontId="2"/>
  </si>
  <si>
    <t>産業ID</t>
    <rPh sb="0" eb="2">
      <t>サンギョウ</t>
    </rPh>
    <phoneticPr fontId="2"/>
  </si>
  <si>
    <t>セクター名（日本語）</t>
    <rPh sb="4" eb="5">
      <t>メイ</t>
    </rPh>
    <rPh sb="6" eb="9">
      <t>ニホンゴ</t>
    </rPh>
    <phoneticPr fontId="2"/>
  </si>
  <si>
    <t>セクター名（英語）</t>
    <rPh sb="4" eb="5">
      <t>メイ</t>
    </rPh>
    <rPh sb="6" eb="8">
      <t>エイゴ</t>
    </rPh>
    <phoneticPr fontId="2"/>
  </si>
  <si>
    <t>産業名（日本語）</t>
    <rPh sb="0" eb="3">
      <t>サンギョウメイ</t>
    </rPh>
    <rPh sb="4" eb="7">
      <t>ニホンゴ</t>
    </rPh>
    <phoneticPr fontId="2"/>
  </si>
  <si>
    <t>産業名（英語）</t>
    <rPh sb="0" eb="3">
      <t>サンギョウメイ</t>
    </rPh>
    <rPh sb="4" eb="6">
      <t>エイゴ</t>
    </rPh>
    <phoneticPr fontId="2"/>
  </si>
  <si>
    <t>セクター・産業マスター</t>
    <phoneticPr fontId="2"/>
  </si>
  <si>
    <t>all_fetch_file_name</t>
    <phoneticPr fontId="2"/>
  </si>
  <si>
    <t>株価履歴ファイル名</t>
    <phoneticPr fontId="2"/>
  </si>
  <si>
    <t>excel</t>
    <phoneticPr fontId="12"/>
  </si>
  <si>
    <t>现在的DB</t>
    <phoneticPr fontId="12"/>
  </si>
  <si>
    <t>TOBE</t>
    <phoneticPr fontId="12"/>
  </si>
  <si>
    <t>parts[idx_act]</t>
    <phoneticPr fontId="12"/>
  </si>
  <si>
    <t>parts[idx_cqs]</t>
    <phoneticPr fontId="12"/>
  </si>
  <si>
    <r>
      <rPr>
        <sz val="11"/>
        <color theme="1"/>
        <rFont val="微软雅黑"/>
        <family val="2"/>
        <charset val="134"/>
      </rPr>
      <t>p</t>
    </r>
    <r>
      <rPr>
        <sz val="10"/>
        <color rgb="FF000000"/>
        <rFont val="Arial"/>
        <scheme val="minor"/>
      </rPr>
      <t>arts[idx_nasdaq]</t>
    </r>
    <phoneticPr fontId="12"/>
  </si>
  <si>
    <t>ticker</t>
    <phoneticPr fontId="12"/>
  </si>
  <si>
    <t>all_fetch_file_name</t>
    <phoneticPr fontId="12"/>
  </si>
  <si>
    <r>
      <t>包含</t>
    </r>
    <r>
      <rPr>
        <sz val="11"/>
        <color theme="1"/>
        <rFont val="Noto Sans JP"/>
        <family val="2"/>
        <charset val="134"/>
      </rPr>
      <t>$</t>
    </r>
    <phoneticPr fontId="12"/>
  </si>
  <si>
    <t>包含小写p</t>
    <phoneticPr fontId="12"/>
  </si>
  <si>
    <t>包含-</t>
    <phoneticPr fontId="12"/>
  </si>
  <si>
    <t>以.W结尾</t>
    <phoneticPr fontId="12"/>
  </si>
  <si>
    <t>以.WS结尾</t>
    <phoneticPr fontId="12"/>
  </si>
  <si>
    <t>以+结尾</t>
    <phoneticPr fontId="12"/>
  </si>
  <si>
    <t>以.U结尾</t>
    <phoneticPr fontId="12"/>
  </si>
  <si>
    <t>以=结尾</t>
    <phoneticPr fontId="12"/>
  </si>
  <si>
    <t>中间包含.</t>
    <phoneticPr fontId="12"/>
  </si>
  <si>
    <t>NE.A</t>
    <phoneticPr fontId="12"/>
  </si>
  <si>
    <t>NE.WS.A</t>
    <phoneticPr fontId="12"/>
  </si>
  <si>
    <t>NE+A</t>
    <phoneticPr fontId="12"/>
  </si>
  <si>
    <t>null</t>
    <phoneticPr fontId="2"/>
  </si>
  <si>
    <r>
      <rPr>
        <sz val="11"/>
        <color theme="1"/>
        <rFont val="Yu Gothic"/>
        <family val="2"/>
        <charset val="128"/>
      </rPr>
      <t>包含</t>
    </r>
    <r>
      <rPr>
        <sz val="11"/>
        <color theme="1"/>
        <rFont val="Noto Sans JP"/>
        <family val="2"/>
        <charset val="134"/>
      </rPr>
      <t>_</t>
    </r>
    <phoneticPr fontId="2"/>
  </si>
  <si>
    <r>
      <rPr>
        <sz val="11"/>
        <color theme="1"/>
        <rFont val="Yu Gothic"/>
        <family val="2"/>
        <charset val="128"/>
      </rPr>
      <t>包含</t>
    </r>
    <r>
      <rPr>
        <sz val="11"/>
        <color theme="1"/>
        <rFont val="Noto Sans JP"/>
        <family val="2"/>
        <charset val="134"/>
      </rPr>
      <t>-</t>
    </r>
    <phoneticPr fontId="2"/>
  </si>
  <si>
    <t>NE-A</t>
    <phoneticPr fontId="2"/>
  </si>
  <si>
    <r>
      <rPr>
        <sz val="11"/>
        <color theme="1"/>
        <rFont val="Yu Gothic"/>
        <family val="2"/>
        <charset val="128"/>
      </rPr>
      <t>包含</t>
    </r>
    <r>
      <rPr>
        <sz val="11"/>
        <color theme="1"/>
        <rFont val="Arial"/>
        <family val="2"/>
        <charset val="128"/>
        <scheme val="minor"/>
      </rPr>
      <t>-P</t>
    </r>
    <phoneticPr fontId="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</si>
  <si>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Arial"/>
        <family val="2"/>
        <charset val="128"/>
        <scheme val="minor"/>
      </rPr>
      <t>-WT</t>
    </r>
    <r>
      <rPr>
        <sz val="11"/>
        <color theme="1"/>
        <rFont val="Noto Sans JP"/>
        <family val="2"/>
        <charset val="134"/>
      </rPr>
      <t>结尾</t>
    </r>
    <phoneticPr fontId="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</si>
  <si>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Arial"/>
        <family val="2"/>
      </rPr>
      <t>-W</t>
    </r>
    <r>
      <rPr>
        <sz val="11"/>
        <color theme="1"/>
        <rFont val="Noto Sans JP"/>
        <family val="2"/>
        <charset val="134"/>
      </rPr>
      <t>结尾</t>
    </r>
    <phoneticPr fontId="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</si>
  <si>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Noto Sans JP"/>
        <family val="2"/>
        <charset val="134"/>
      </rPr>
      <t>-U结尾</t>
    </r>
    <phoneticPr fontId="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</si>
  <si>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Noto Sans JP"/>
        <family val="2"/>
        <charset val="134"/>
      </rPr>
      <t>-WS结尾</t>
    </r>
    <phoneticPr fontId="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</si>
  <si>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Arial"/>
        <family val="2"/>
        <charset val="128"/>
        <scheme val="minor"/>
      </rPr>
      <t>-UN</t>
    </r>
    <r>
      <rPr>
        <sz val="11"/>
        <color theme="1"/>
        <rFont val="Noto Sans JP"/>
        <family val="2"/>
        <charset val="134"/>
      </rPr>
      <t>结尾</t>
    </r>
    <phoneticPr fontId="2"/>
  </si>
  <si>
    <t>NE-WS-A</t>
    <phoneticPr fontId="2"/>
  </si>
  <si>
    <t>NE-WTA</t>
    <phoneticPr fontId="2"/>
  </si>
  <si>
    <t>OK</t>
    <phoneticPr fontId="2"/>
  </si>
  <si>
    <t>UPDATE stocks</t>
  </si>
  <si>
    <t xml:space="preserve">SET </t>
  </si>
  <si>
    <t>  ticker = regexp_replace(ticker, '-W$', '-WT'),</t>
  </si>
  <si>
    <t>  all_fetch_file_name = lower(regexp_replace(ticker, '-W$', '-WS')) || '.us.txt'</t>
  </si>
  <si>
    <t>  AND exchange = 'US';</t>
  </si>
  <si>
    <t>WHERE ticker LIKE '%-W'</t>
    <phoneticPr fontId="2"/>
  </si>
  <si>
    <t>  ticker = replace(ticker, '_', '-P'),</t>
  </si>
  <si>
    <t>  all_fetch_file_name = lower(ticker) || '.us.txt'</t>
  </si>
  <si>
    <t>WHERE ticker LIKE '%\_%' ESCAPE '\'</t>
  </si>
  <si>
    <t>  ticker = regexp_replace(ticker, '-U$', '-UN'),</t>
  </si>
  <si>
    <t>WHERE ticker LIKE '%-U';</t>
  </si>
  <si>
    <t>SET all_fetch_file_name = lower(ticker) || '.us.txt'</t>
  </si>
  <si>
    <t>WHERE ticker LIKE '%-%' and exchange = 'US' and ticker not LIKE '%-W' and ticker not LIKE '%-U';</t>
    <phoneticPr fontId="2"/>
  </si>
  <si>
    <t>update stocks</t>
  </si>
  <si>
    <t>set all_fetch_file_name = 'ne-ws-a.us.txt'</t>
  </si>
  <si>
    <t>where ticker = 'NE-A';</t>
  </si>
  <si>
    <t>set all_fetch_file_name = lower(ticker) || '.us.txt'</t>
  </si>
  <si>
    <t>where all_fetch_file_name is null and exchange = 'US';</t>
  </si>
  <si>
    <t>读取规则：</t>
    <phoneticPr fontId="2"/>
  </si>
  <si>
    <t>转换规则</t>
    <phoneticPr fontId="2"/>
  </si>
  <si>
    <r>
      <t xml:space="preserve">1. - </t>
    </r>
    <r>
      <rPr>
        <sz val="11"/>
        <color theme="1"/>
        <rFont val="Noto Sans JP"/>
        <family val="2"/>
        <charset val="134"/>
      </rPr>
      <t>转换为 -</t>
    </r>
    <r>
      <rPr>
        <sz val="11"/>
        <color theme="1"/>
        <rFont val="Arial"/>
        <family val="2"/>
      </rPr>
      <t>P</t>
    </r>
    <phoneticPr fontId="2"/>
  </si>
  <si>
    <r>
      <t>2. +</t>
    </r>
    <r>
      <rPr>
        <sz val="11"/>
        <color theme="1"/>
        <rFont val="Noto Sans JP"/>
        <family val="2"/>
        <charset val="134"/>
      </rPr>
      <t>转换为  -</t>
    </r>
    <r>
      <rPr>
        <sz val="11"/>
        <color theme="1"/>
        <rFont val="Arial"/>
        <family val="2"/>
        <charset val="128"/>
        <scheme val="minor"/>
      </rPr>
      <t>WT</t>
    </r>
    <phoneticPr fontId="2"/>
  </si>
  <si>
    <r>
      <t>3. =</t>
    </r>
    <r>
      <rPr>
        <sz val="11"/>
        <color theme="1"/>
        <rFont val="Noto Sans JP"/>
        <family val="2"/>
        <charset val="134"/>
      </rPr>
      <t>转换为-</t>
    </r>
    <r>
      <rPr>
        <sz val="11"/>
        <color theme="1"/>
        <rFont val="Arial"/>
        <family val="2"/>
        <charset val="128"/>
        <scheme val="minor"/>
      </rPr>
      <t>UN</t>
    </r>
    <phoneticPr fontId="2"/>
  </si>
  <si>
    <r>
      <t xml:space="preserve">ticker = </t>
    </r>
    <r>
      <rPr>
        <sz val="11"/>
        <color theme="1"/>
        <rFont val="微软雅黑"/>
        <family val="2"/>
        <charset val="134"/>
      </rPr>
      <t>转换</t>
    </r>
    <r>
      <rPr>
        <sz val="11"/>
        <color theme="1"/>
        <rFont val="Noto Sans JP"/>
        <family val="2"/>
        <charset val="134"/>
      </rPr>
      <t xml:space="preserve"> </t>
    </r>
    <r>
      <rPr>
        <sz val="11"/>
        <color theme="1"/>
        <rFont val="Arial"/>
        <family val="2"/>
        <charset val="128"/>
        <scheme val="minor"/>
      </rPr>
      <t>parts[idx_nasdaq]</t>
    </r>
    <phoneticPr fontId="2"/>
  </si>
  <si>
    <r>
      <t xml:space="preserve">all_fetch_file_name = </t>
    </r>
    <r>
      <rPr>
        <sz val="11"/>
        <color theme="1"/>
        <rFont val="微软雅黑"/>
        <family val="2"/>
        <charset val="134"/>
      </rPr>
      <t>转换</t>
    </r>
    <r>
      <rPr>
        <sz val="11"/>
        <color theme="1"/>
        <rFont val="Arial"/>
        <family val="2"/>
      </rPr>
      <t xml:space="preserve"> parts[idx_nasdaq]</t>
    </r>
    <phoneticPr fontId="2"/>
  </si>
  <si>
    <r>
      <t>1. parts[idx_nasdaq]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Noto Sans JP"/>
        <family val="2"/>
        <charset val="134"/>
      </rPr>
      <t xml:space="preserve"> - </t>
    </r>
    <r>
      <rPr>
        <sz val="11"/>
        <color theme="1"/>
        <rFont val="微软雅黑"/>
        <family val="2"/>
        <charset val="134"/>
      </rPr>
      <t>转换为</t>
    </r>
    <r>
      <rPr>
        <sz val="11"/>
        <color theme="1"/>
        <rFont val="Noto Sans JP"/>
        <family val="2"/>
        <charset val="134"/>
      </rPr>
      <t xml:space="preserve"> _，并</t>
    </r>
    <r>
      <rPr>
        <sz val="11"/>
        <color theme="1"/>
        <rFont val="微软雅黑"/>
        <family val="2"/>
        <charset val="134"/>
      </rPr>
      <t>转换</t>
    </r>
    <r>
      <rPr>
        <sz val="11"/>
        <color theme="1"/>
        <rFont val="Noto Sans JP"/>
        <family val="2"/>
        <charset val="134"/>
      </rPr>
      <t>成小写字母，最后加上 ".us.txt"</t>
    </r>
    <phoneticPr fontId="2"/>
  </si>
  <si>
    <r>
      <t>2. parts[idx_nasdaq]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Noto Sans JP"/>
        <family val="2"/>
        <charset val="134"/>
      </rPr>
      <t xml:space="preserve"> + </t>
    </r>
    <r>
      <rPr>
        <sz val="11"/>
        <color theme="1"/>
        <rFont val="微软雅黑"/>
        <family val="2"/>
        <charset val="134"/>
      </rPr>
      <t>转换为</t>
    </r>
    <r>
      <rPr>
        <sz val="11"/>
        <color theme="1"/>
        <rFont val="Noto Sans JP"/>
        <family val="2"/>
        <charset val="134"/>
      </rPr>
      <t xml:space="preserve"> -WS，并</t>
    </r>
    <r>
      <rPr>
        <sz val="11"/>
        <color theme="1"/>
        <rFont val="微软雅黑"/>
        <family val="2"/>
        <charset val="134"/>
      </rPr>
      <t>转换</t>
    </r>
    <r>
      <rPr>
        <sz val="11"/>
        <color theme="1"/>
        <rFont val="Noto Sans JP"/>
        <family val="2"/>
        <charset val="134"/>
      </rPr>
      <t>成小写字母，最后加上 ".us.txt"</t>
    </r>
    <phoneticPr fontId="2"/>
  </si>
  <si>
    <r>
      <t>3. parts[idx_nasdaq]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Noto Sans JP"/>
        <family val="2"/>
        <charset val="134"/>
      </rPr>
      <t xml:space="preserve"> = </t>
    </r>
    <r>
      <rPr>
        <sz val="11"/>
        <color theme="1"/>
        <rFont val="微软雅黑"/>
        <family val="2"/>
        <charset val="134"/>
      </rPr>
      <t>转换为</t>
    </r>
    <r>
      <rPr>
        <sz val="11"/>
        <color theme="1"/>
        <rFont val="Noto Sans JP"/>
        <family val="2"/>
        <charset val="134"/>
      </rPr>
      <t xml:space="preserve"> -U，并</t>
    </r>
    <r>
      <rPr>
        <sz val="11"/>
        <color theme="1"/>
        <rFont val="微软雅黑"/>
        <family val="2"/>
        <charset val="134"/>
      </rPr>
      <t>转换</t>
    </r>
    <r>
      <rPr>
        <sz val="11"/>
        <color theme="1"/>
        <rFont val="Noto Sans JP"/>
        <family val="2"/>
        <charset val="134"/>
      </rPr>
      <t>成小写字母，最后加上 ".us.txt"</t>
    </r>
    <phoneticPr fontId="2"/>
  </si>
  <si>
    <r>
      <t>以.R</t>
    </r>
    <r>
      <rPr>
        <sz val="11"/>
        <color rgb="FFFF0000"/>
        <rFont val="微软雅黑"/>
        <family val="2"/>
        <charset val="134"/>
      </rPr>
      <t>结</t>
    </r>
    <r>
      <rPr>
        <sz val="11"/>
        <color rgb="FFFF0000"/>
        <rFont val="Noto Sans JP"/>
        <family val="2"/>
        <charset val="134"/>
      </rPr>
      <t>尾</t>
    </r>
    <phoneticPr fontId="12"/>
  </si>
  <si>
    <r>
      <t>以r</t>
    </r>
    <r>
      <rPr>
        <sz val="11"/>
        <color rgb="FFFF0000"/>
        <rFont val="微软雅黑"/>
        <family val="2"/>
        <charset val="134"/>
      </rPr>
      <t>结</t>
    </r>
    <r>
      <rPr>
        <sz val="11"/>
        <color rgb="FFFF0000"/>
        <rFont val="Noto Sans JP"/>
        <family val="2"/>
        <charset val="134"/>
      </rPr>
      <t>尾</t>
    </r>
    <phoneticPr fontId="12"/>
  </si>
  <si>
    <r>
      <t>以^</t>
    </r>
    <r>
      <rPr>
        <sz val="11"/>
        <color rgb="FFFF0000"/>
        <rFont val="微软雅黑"/>
        <family val="2"/>
        <charset val="134"/>
      </rPr>
      <t>结</t>
    </r>
    <r>
      <rPr>
        <sz val="11"/>
        <color rgb="FFFF0000"/>
        <rFont val="Noto Sans JP"/>
        <family val="2"/>
        <charset val="134"/>
      </rPr>
      <t>尾</t>
    </r>
    <phoneticPr fontId="1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</si>
  <si>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Arial"/>
        <family val="2"/>
      </rPr>
      <t>R</t>
    </r>
    <r>
      <rPr>
        <sz val="11"/>
        <color theme="1"/>
        <rFont val="微软雅黑"/>
        <family val="2"/>
        <charset val="134"/>
      </rPr>
      <t>结</t>
    </r>
    <r>
      <rPr>
        <sz val="11"/>
        <color theme="1"/>
        <rFont val="Noto Sans JP"/>
        <family val="2"/>
        <charset val="134"/>
      </rPr>
      <t>尾</t>
    </r>
    <phoneticPr fontId="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</si>
  <si>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Arial"/>
        <family val="2"/>
        <charset val="128"/>
        <scheme val="minor"/>
      </rPr>
      <t>-RI</t>
    </r>
    <r>
      <rPr>
        <sz val="11"/>
        <color theme="1"/>
        <rFont val="Noto Sans JP"/>
        <family val="2"/>
        <charset val="134"/>
      </rPr>
      <t>结尾</t>
    </r>
    <phoneticPr fontId="2"/>
  </si>
  <si>
    <r>
      <rPr>
        <sz val="11"/>
        <color theme="1"/>
        <rFont val="Yu Gothic"/>
        <family val="2"/>
        <charset val="128"/>
      </rPr>
      <t>以</t>
    </r>
    <r>
      <rPr>
        <sz val="11"/>
        <color theme="1"/>
        <rFont val="Noto Sans JP"/>
        <family val="2"/>
        <charset val="134"/>
      </rPr>
      <t>-R结尾</t>
    </r>
    <phoneticPr fontId="2"/>
  </si>
  <si>
    <r>
      <t>4. ^</t>
    </r>
    <r>
      <rPr>
        <sz val="11"/>
        <color theme="1"/>
        <rFont val="微软雅黑"/>
        <family val="2"/>
        <charset val="134"/>
      </rPr>
      <t>转换为</t>
    </r>
    <r>
      <rPr>
        <sz val="11"/>
        <color theme="1"/>
        <rFont val="Noto Sans JP"/>
        <family val="2"/>
        <charset val="134"/>
      </rPr>
      <t>-RI</t>
    </r>
    <phoneticPr fontId="2"/>
  </si>
  <si>
    <r>
      <t xml:space="preserve">5.  .  </t>
    </r>
    <r>
      <rPr>
        <sz val="11"/>
        <color theme="1"/>
        <rFont val="微软雅黑"/>
        <family val="2"/>
        <charset val="134"/>
      </rPr>
      <t>转换为</t>
    </r>
    <r>
      <rPr>
        <sz val="11"/>
        <color theme="1"/>
        <rFont val="Noto Sans JP"/>
        <family val="2"/>
        <charset val="134"/>
      </rPr>
      <t xml:space="preserve">  -</t>
    </r>
    <phoneticPr fontId="2"/>
  </si>
  <si>
    <r>
      <t>4. parts[idx_nasdaq]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Noto Sans JP"/>
        <family val="2"/>
        <charset val="134"/>
      </rPr>
      <t xml:space="preserve"> ^ </t>
    </r>
    <r>
      <rPr>
        <sz val="11"/>
        <color theme="1"/>
        <rFont val="微软雅黑"/>
        <family val="2"/>
        <charset val="134"/>
      </rPr>
      <t>转换为</t>
    </r>
    <r>
      <rPr>
        <sz val="11"/>
        <color theme="1"/>
        <rFont val="Noto Sans JP"/>
        <family val="2"/>
        <charset val="134"/>
      </rPr>
      <t xml:space="preserve">  -R，并</t>
    </r>
    <r>
      <rPr>
        <sz val="11"/>
        <color theme="1"/>
        <rFont val="微软雅黑"/>
        <family val="2"/>
        <charset val="134"/>
      </rPr>
      <t>转换</t>
    </r>
    <r>
      <rPr>
        <sz val="11"/>
        <color theme="1"/>
        <rFont val="Noto Sans JP"/>
        <family val="2"/>
        <charset val="134"/>
      </rPr>
      <t>成小写字母，最后加上 ".us.txt"</t>
    </r>
    <phoneticPr fontId="2"/>
  </si>
  <si>
    <r>
      <t>5. parts[idx_nasdaq]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Noto Sans JP"/>
        <family val="2"/>
        <charset val="134"/>
      </rPr>
      <t xml:space="preserve"> . </t>
    </r>
    <r>
      <rPr>
        <sz val="11"/>
        <color theme="1"/>
        <rFont val="微软雅黑"/>
        <family val="2"/>
        <charset val="134"/>
      </rPr>
      <t>转换为</t>
    </r>
    <r>
      <rPr>
        <sz val="11"/>
        <color theme="1"/>
        <rFont val="Noto Sans JP"/>
        <family val="2"/>
        <charset val="134"/>
      </rPr>
      <t xml:space="preserve">  -，并</t>
    </r>
    <r>
      <rPr>
        <sz val="11"/>
        <color theme="1"/>
        <rFont val="微软雅黑"/>
        <family val="2"/>
        <charset val="134"/>
      </rPr>
      <t>转换</t>
    </r>
    <r>
      <rPr>
        <sz val="11"/>
        <color theme="1"/>
        <rFont val="Noto Sans JP"/>
        <family val="2"/>
        <charset val="134"/>
      </rPr>
      <t>成小写字母，最后加上 ".us.txt"</t>
    </r>
    <phoneticPr fontId="2"/>
  </si>
  <si>
    <t>1,e226aa2d-1680-468c-8a41-33a3dad9874f,ken,,2025-09-21 04:18:05.364804+00,2026-02-13 13:25:21.963638+00</t>
  </si>
  <si>
    <t>id,user_id,name,type,created_at,updated_at</t>
    <phoneticPr fontId="2"/>
  </si>
  <si>
    <t>create table public.accounts (</t>
  </si>
  <si>
    <t xml:space="preserve">  id bigserial not null,</t>
  </si>
  <si>
    <t xml:space="preserve">  user_id uuid not null,</t>
  </si>
  <si>
    <t xml:space="preserve">  name text not null,</t>
  </si>
  <si>
    <t xml:space="preserve">  type text null,</t>
  </si>
  <si>
    <t xml:space="preserve">  created_at timestamp with time zone null default now(),</t>
  </si>
  <si>
    <t xml:space="preserve">  updated_at timestamp with time zone null default now(),</t>
  </si>
  <si>
    <t xml:space="preserve">  constraint accounts_pkey primary key (id),</t>
  </si>
  <si>
    <t xml:space="preserve">  constraint accounts_user_id_fkey foreign KEY (user_id) references auth.users (id) on delete CASCADE</t>
  </si>
  <si>
    <t>) TABLESPACE pg_default;</t>
  </si>
  <si>
    <t>create table public.sector_industry_master (</t>
  </si>
  <si>
    <t xml:space="preserve">  id smallint generated by default as identity not null,</t>
  </si>
  <si>
    <t xml:space="preserve">  sector_id smallint not null,</t>
  </si>
  <si>
    <t xml:space="preserve">  industry_id smallint not null,</t>
  </si>
  <si>
    <t xml:space="preserve">  sector_name text not null,</t>
  </si>
  <si>
    <t xml:space="preserve">  sector_name_us text not null,</t>
  </si>
  <si>
    <t xml:space="preserve">  industry_name text not null,</t>
  </si>
  <si>
    <t xml:space="preserve">  industry_name_us text not null,</t>
  </si>
  <si>
    <t xml:space="preserve">  created_at timestamp with time zone not null default now(),</t>
  </si>
  <si>
    <t xml:space="preserve">  constraint sector_industry_master_pkey primary key (id)</t>
  </si>
  <si>
    <t>id,sector_id,industry_id,sector_name,sector_name_us,industry_name,industry_name_us,created_at</t>
  </si>
  <si>
    <t>1,1,1,テクノロジー,Technology,コンピューター、電話、家庭用電気製品,"Computers, Phones &amp; Household Electronics",2025-09-21 10:24:18.650254+00</t>
  </si>
  <si>
    <t>2,1,2,テクノロジー,Technology,ソフトウェアとITサービス,Software &amp; IT Services,2025-09-21 10:24:18.650254+00</t>
  </si>
  <si>
    <t>3,1,3,テクノロジー,Technology,フィンテックとインフラ,Financial Technology (Fintech) &amp; Infrastructure,2025-09-21 10:24:18.650254+00</t>
  </si>
  <si>
    <t>create table public.stocks (</t>
  </si>
  <si>
    <t xml:space="preserve">  id bigint generated by default as identity not null,</t>
  </si>
  <si>
    <t xml:space="preserve">  ticker text null,</t>
  </si>
  <si>
    <t xml:space="preserve">  exchange text null,</t>
  </si>
  <si>
    <t xml:space="preserve">  currency text not null,</t>
  </si>
  <si>
    <t xml:space="preserve">  country text not null,</t>
  </si>
  <si>
    <t xml:space="preserve">  status text not null default 'active'::text,</t>
  </si>
  <si>
    <t xml:space="preserve">  last_price numeric null,</t>
  </si>
  <si>
    <t xml:space="preserve">  last_price_at timestamp with time zone null,</t>
  </si>
  <si>
    <t xml:space="preserve">  name_us text null,</t>
  </si>
  <si>
    <t xml:space="preserve">  sector_industry_id smallint null,</t>
  </si>
  <si>
    <t xml:space="preserve">  logo text null,</t>
  </si>
  <si>
    <t xml:space="preserve">  all_fetch_file_name text null,</t>
  </si>
  <si>
    <t xml:space="preserve">  is_monitored boolean not null default false,</t>
  </si>
  <si>
    <t xml:space="preserve">  last_synced_at date null,</t>
  </si>
  <si>
    <t xml:space="preserve">  constraint stocks_pkey primary key (id),</t>
  </si>
  <si>
    <t xml:space="preserve">  constraint stocks_all_fetch_file_name_key unique (all_fetch_file_name),</t>
  </si>
  <si>
    <t xml:space="preserve">  constraint unique_ticker_exchange unique (ticker, exchange),</t>
  </si>
  <si>
    <t xml:space="preserve">  constraint stocks_sector_industry_id_fkey foreign KEY (sector_industry_id) references sector_industry_master (id),</t>
  </si>
  <si>
    <t xml:space="preserve">  constraint stocks_status_check check (</t>
  </si>
  <si>
    <t xml:space="preserve">    (</t>
  </si>
  <si>
    <t xml:space="preserve">      status = any (</t>
  </si>
  <si>
    <t xml:space="preserve">        array[</t>
  </si>
  <si>
    <t xml:space="preserve">          'active'::text,</t>
  </si>
  <si>
    <t xml:space="preserve">          'delisted'::text,</t>
  </si>
  <si>
    <t xml:space="preserve">          'suspended'::text</t>
  </si>
  <si>
    <t xml:space="preserve">        ]</t>
  </si>
  <si>
    <t xml:space="preserve">      )</t>
  </si>
  <si>
    <t xml:space="preserve">    )</t>
  </si>
  <si>
    <t xml:space="preserve">  )</t>
  </si>
  <si>
    <t>create index IF not exists stocks_ticker_trgm_idx on public.stocks using gin (ticker gin_trgm_ops) TABLESPACE pg_default;</t>
  </si>
  <si>
    <t>create index IF not exists stocks_name_trgm_idx on public.stocks using gin (name gin_trgm_ops) TABLESPACE pg_default;</t>
  </si>
  <si>
    <t>JP/US</t>
    <phoneticPr fontId="2"/>
  </si>
  <si>
    <t>JPY/USD</t>
    <phoneticPr fontId="2"/>
  </si>
  <si>
    <r>
      <t>CREATE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OR</t>
    </r>
    <r>
      <rPr>
        <sz val="6"/>
        <color rgb="FF444444"/>
        <rFont val="Consolas"/>
        <family val="3"/>
      </rPr>
      <t xml:space="preserve"> REPLACE FUNCTION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insert_trade_and_update_account</t>
    </r>
    <r>
      <rPr>
        <sz val="6"/>
        <color rgb="FF000000"/>
        <rFont val="Consolas"/>
        <family val="3"/>
      </rPr>
      <t>(</t>
    </r>
  </si>
  <si>
    <r>
      <t>  p_user_id uuid</t>
    </r>
    <r>
      <rPr>
        <sz val="6"/>
        <color rgb="FF000000"/>
        <rFont val="Consolas"/>
        <family val="3"/>
      </rPr>
      <t>,</t>
    </r>
  </si>
  <si>
    <r>
      <t>  p_account_id bigint</t>
    </r>
    <r>
      <rPr>
        <sz val="6"/>
        <color rgb="FF000000"/>
        <rFont val="Consolas"/>
        <family val="3"/>
      </rPr>
      <t>,</t>
    </r>
  </si>
  <si>
    <r>
      <t>  p_asset_type text</t>
    </r>
    <r>
      <rPr>
        <sz val="6"/>
        <color rgb="FF000000"/>
        <rFont val="Consolas"/>
        <family val="3"/>
      </rPr>
      <t>,</t>
    </r>
  </si>
  <si>
    <r>
      <t>  p_asset_id bigint</t>
    </r>
    <r>
      <rPr>
        <sz val="6"/>
        <color rgb="FF000000"/>
        <rFont val="Consolas"/>
        <family val="3"/>
      </rPr>
      <t>,</t>
    </r>
  </si>
  <si>
    <r>
      <t>  p_trade_date date</t>
    </r>
    <r>
      <rPr>
        <sz val="6"/>
        <color rgb="FF000000"/>
        <rFont val="Consolas"/>
        <family val="3"/>
      </rPr>
      <t>,</t>
    </r>
  </si>
  <si>
    <r>
      <t>  p_action text</t>
    </r>
    <r>
      <rPr>
        <sz val="6"/>
        <color rgb="FF000000"/>
        <rFont val="Consolas"/>
        <family val="3"/>
      </rPr>
      <t>,</t>
    </r>
  </si>
  <si>
    <r>
      <t>  p_trade_type text</t>
    </r>
    <r>
      <rPr>
        <sz val="6"/>
        <color rgb="FF000000"/>
        <rFont val="Consolas"/>
        <family val="3"/>
      </rPr>
      <t>,</t>
    </r>
  </si>
  <si>
    <r>
      <t>  p_exchange text</t>
    </r>
    <r>
      <rPr>
        <sz val="6"/>
        <color rgb="FF000000"/>
        <rFont val="Consolas"/>
        <family val="3"/>
      </rPr>
      <t>,</t>
    </r>
  </si>
  <si>
    <r>
      <t>  p_quantity numeric</t>
    </r>
    <r>
      <rPr>
        <sz val="6"/>
        <color rgb="FF000000"/>
        <rFont val="Consolas"/>
        <family val="3"/>
      </rPr>
      <t>,</t>
    </r>
  </si>
  <si>
    <r>
      <t>  p_price numeric</t>
    </r>
    <r>
      <rPr>
        <sz val="6"/>
        <color rgb="FF000000"/>
        <rFont val="Consolas"/>
        <family val="3"/>
      </rPr>
      <t>,</t>
    </r>
  </si>
  <si>
    <r>
      <t>  p_fee_amount numeric</t>
    </r>
    <r>
      <rPr>
        <sz val="6"/>
        <color rgb="FF000000"/>
        <rFont val="Consolas"/>
        <family val="3"/>
      </rPr>
      <t>,</t>
    </r>
  </si>
  <si>
    <r>
      <t>  p_fee_currency text</t>
    </r>
    <r>
      <rPr>
        <sz val="6"/>
        <color rgb="FF000000"/>
        <rFont val="Consolas"/>
        <family val="3"/>
      </rPr>
      <t>,</t>
    </r>
  </si>
  <si>
    <r>
      <t>  p_remark text</t>
    </r>
    <r>
      <rPr>
        <sz val="6"/>
        <color rgb="FF000000"/>
        <rFont val="Consolas"/>
        <family val="3"/>
      </rPr>
      <t>,</t>
    </r>
  </si>
  <si>
    <t>  p_sell_mappings jsonb</t>
  </si>
  <si>
    <t>)</t>
  </si>
  <si>
    <r>
      <t xml:space="preserve">RETURNS </t>
    </r>
    <r>
      <rPr>
        <sz val="6"/>
        <color rgb="FF0000FF"/>
        <rFont val="Consolas"/>
        <family val="3"/>
      </rPr>
      <t>TABLE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trade_id bigint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profit numeric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account_updated_at timestamptz</t>
    </r>
    <r>
      <rPr>
        <sz val="6"/>
        <color rgb="FF000000"/>
        <rFont val="Consolas"/>
        <family val="3"/>
      </rPr>
      <t>)</t>
    </r>
  </si>
  <si>
    <r>
      <t xml:space="preserve">LANGUAGE plpgsql </t>
    </r>
    <r>
      <rPr>
        <sz val="6"/>
        <color rgb="FF0000FF"/>
        <rFont val="Consolas"/>
        <family val="3"/>
      </rPr>
      <t>AS</t>
    </r>
    <r>
      <rPr>
        <sz val="6"/>
        <color rgb="FF444444"/>
        <rFont val="Consolas"/>
        <family val="3"/>
      </rPr>
      <t xml:space="preserve"> </t>
    </r>
    <r>
      <rPr>
        <sz val="6"/>
        <color rgb="FF098658"/>
        <rFont val="Consolas"/>
        <family val="3"/>
      </rPr>
      <t>$$</t>
    </r>
  </si>
  <si>
    <t>DECLARE</t>
  </si>
  <si>
    <r>
      <t>  v_id bigint</t>
    </r>
    <r>
      <rPr>
        <sz val="6"/>
        <color rgb="FF000000"/>
        <rFont val="Consolas"/>
        <family val="3"/>
      </rPr>
      <t>;</t>
    </r>
  </si>
  <si>
    <r>
      <t>  v_updated_at timestamptz</t>
    </r>
    <r>
      <rPr>
        <sz val="6"/>
        <color rgb="FF000000"/>
        <rFont val="Consolas"/>
        <family val="3"/>
      </rPr>
      <t>;</t>
    </r>
  </si>
  <si>
    <r>
      <t>  v_rate numeric</t>
    </r>
    <r>
      <rPr>
        <sz val="6"/>
        <color rgb="FF000000"/>
        <rFont val="Consolas"/>
        <family val="3"/>
      </rPr>
      <t>;</t>
    </r>
  </si>
  <si>
    <r>
      <t>  v_cost numeric</t>
    </r>
    <r>
      <rPr>
        <sz val="6"/>
        <color rgb="FF000000"/>
        <rFont val="Consolas"/>
        <family val="3"/>
      </rPr>
      <t>;</t>
    </r>
  </si>
  <si>
    <r>
      <t>  v_value numeric</t>
    </r>
    <r>
      <rPr>
        <sz val="6"/>
        <color rgb="FF000000"/>
        <rFont val="Consolas"/>
        <family val="3"/>
      </rPr>
      <t>;</t>
    </r>
  </si>
  <si>
    <r>
      <t>  v_profit numeric</t>
    </r>
    <r>
      <rPr>
        <sz val="6"/>
        <color rgb="FF000000"/>
        <rFont val="Consolas"/>
        <family val="3"/>
      </rPr>
      <t>;</t>
    </r>
  </si>
  <si>
    <t>BEGIN</t>
  </si>
  <si>
    <r>
      <t xml:space="preserve">  </t>
    </r>
    <r>
      <rPr>
        <sz val="6"/>
        <color rgb="FF666666"/>
        <rFont val="Consolas"/>
        <family val="3"/>
      </rPr>
      <t>-- 如果是卖出，计算收益</t>
    </r>
  </si>
  <si>
    <r>
      <t xml:space="preserve">  IF p_action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'sell'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p_sell_mappings </t>
    </r>
    <r>
      <rPr>
        <sz val="6"/>
        <color rgb="FF778899"/>
        <rFont val="Consolas"/>
        <family val="3"/>
      </rPr>
      <t>IS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NOT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NULL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</si>
  <si>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 xml:space="preserve">    </t>
    </r>
    <r>
      <rPr>
        <sz val="6"/>
        <color rgb="FF666666"/>
        <rFont val="Consolas"/>
        <family val="3"/>
      </rPr>
      <t>-- 取得当天汇率</t>
    </r>
  </si>
  <si>
    <r>
      <t xml:space="preserve">    </t>
    </r>
    <r>
      <rPr>
        <sz val="6"/>
        <color rgb="FF0000FF"/>
        <rFont val="Consolas"/>
        <family val="3"/>
      </rPr>
      <t>SELECT</t>
    </r>
    <r>
      <rPr>
        <sz val="6"/>
        <color rgb="FF444444"/>
        <rFont val="Consolas"/>
        <family val="3"/>
      </rPr>
      <t xml:space="preserve"> rate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v_rate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fx_rates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rate_date </t>
    </r>
    <r>
      <rPr>
        <sz val="6"/>
        <color rgb="FF778899"/>
        <rFont val="Consolas"/>
        <family val="3"/>
      </rPr>
      <t>&lt;=</t>
    </r>
    <r>
      <rPr>
        <sz val="6"/>
        <color rgb="FF444444"/>
        <rFont val="Consolas"/>
        <family val="3"/>
      </rPr>
      <t xml:space="preserve"> p_trade_date </t>
    </r>
    <r>
      <rPr>
        <sz val="6"/>
        <color rgb="FF0000FF"/>
        <rFont val="Consolas"/>
        <family val="3"/>
      </rPr>
      <t>ORDER</t>
    </r>
    <r>
      <rPr>
        <sz val="6"/>
        <color rgb="FF444444"/>
        <rFont val="Consolas"/>
        <family val="3"/>
      </rPr>
      <t xml:space="preserve"> BY rate_date </t>
    </r>
    <r>
      <rPr>
        <sz val="6"/>
        <color rgb="FF0000FF"/>
        <rFont val="Consolas"/>
        <family val="3"/>
      </rPr>
      <t>desc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LIMIT</t>
    </r>
    <r>
      <rPr>
        <sz val="6"/>
        <color rgb="FF444444"/>
        <rFont val="Consolas"/>
        <family val="3"/>
      </rPr>
      <t xml:space="preserve"> </t>
    </r>
    <r>
      <rPr>
        <sz val="6"/>
        <color rgb="FF098658"/>
        <rFont val="Consolas"/>
        <family val="3"/>
      </rPr>
      <t>1</t>
    </r>
    <r>
      <rPr>
        <sz val="6"/>
        <color rgb="FF000000"/>
        <rFont val="Consolas"/>
        <family val="3"/>
      </rPr>
      <t>;</t>
    </r>
  </si>
  <si>
    <r>
      <t xml:space="preserve">    </t>
    </r>
    <r>
      <rPr>
        <sz val="6"/>
        <color rgb="FF666666"/>
        <rFont val="Consolas"/>
        <family val="3"/>
      </rPr>
      <t>-- v_cost 计算</t>
    </r>
  </si>
  <si>
    <r>
      <t xml:space="preserve">    </t>
    </r>
    <r>
      <rPr>
        <sz val="6"/>
        <color rgb="FF0000FF"/>
        <rFont val="Consolas"/>
        <family val="3"/>
      </rPr>
      <t>WITH</t>
    </r>
    <r>
      <rPr>
        <sz val="6"/>
        <color rgb="FF444444"/>
        <rFont val="Consolas"/>
        <family val="3"/>
      </rPr>
      <t xml:space="preserve"> m </t>
    </r>
    <r>
      <rPr>
        <sz val="6"/>
        <color rgb="FF0000FF"/>
        <rFont val="Consolas"/>
        <family val="3"/>
      </rPr>
      <t>AS</t>
    </r>
    <r>
      <rPr>
        <sz val="6"/>
        <color rgb="FF444444"/>
        <rFont val="Consolas"/>
        <family val="3"/>
      </rPr>
      <t xml:space="preserve"> </t>
    </r>
    <r>
      <rPr>
        <sz val="6"/>
        <color rgb="FF000000"/>
        <rFont val="Consolas"/>
        <family val="3"/>
      </rPr>
      <t>(</t>
    </r>
  </si>
  <si>
    <r>
      <t xml:space="preserve">      </t>
    </r>
    <r>
      <rPr>
        <sz val="6"/>
        <color rgb="FF0000FF"/>
        <rFont val="Consolas"/>
        <family val="3"/>
      </rPr>
      <t>SELECT</t>
    </r>
  </si>
  <si>
    <r>
      <t xml:space="preserve">       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m</t>
    </r>
    <r>
      <rPr>
        <sz val="6"/>
        <color rgb="FF778899"/>
        <rFont val="Consolas"/>
        <family val="3"/>
      </rPr>
      <t>-&gt;&gt;</t>
    </r>
    <r>
      <rPr>
        <sz val="6"/>
        <color rgb="FF24B47E"/>
        <rFont val="Consolas"/>
        <family val="3"/>
      </rPr>
      <t>'buy_id'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 xml:space="preserve">::bigint </t>
    </r>
    <r>
      <rPr>
        <sz val="6"/>
        <color rgb="FF0000FF"/>
        <rFont val="Consolas"/>
        <family val="3"/>
      </rPr>
      <t>AS</t>
    </r>
    <r>
      <rPr>
        <sz val="6"/>
        <color rgb="FF444444"/>
        <rFont val="Consolas"/>
        <family val="3"/>
      </rPr>
      <t xml:space="preserve"> buy_id</t>
    </r>
    <r>
      <rPr>
        <sz val="6"/>
        <color rgb="FF000000"/>
        <rFont val="Consolas"/>
        <family val="3"/>
      </rPr>
      <t>,</t>
    </r>
  </si>
  <si>
    <r>
      <t xml:space="preserve">       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m</t>
    </r>
    <r>
      <rPr>
        <sz val="6"/>
        <color rgb="FF778899"/>
        <rFont val="Consolas"/>
        <family val="3"/>
      </rPr>
      <t>-&gt;&gt;</t>
    </r>
    <r>
      <rPr>
        <sz val="6"/>
        <color rgb="FF24B47E"/>
        <rFont val="Consolas"/>
        <family val="3"/>
      </rPr>
      <t>'quantity'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 xml:space="preserve">::numeric </t>
    </r>
    <r>
      <rPr>
        <sz val="6"/>
        <color rgb="FF0000FF"/>
        <rFont val="Consolas"/>
        <family val="3"/>
      </rPr>
      <t>AS</t>
    </r>
    <r>
      <rPr>
        <sz val="6"/>
        <color rgb="FF444444"/>
        <rFont val="Consolas"/>
        <family val="3"/>
      </rPr>
      <t xml:space="preserve"> quantity</t>
    </r>
  </si>
  <si>
    <r>
      <t xml:space="preserve">     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jsonb_array_elements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p_sell_mappings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AS</t>
    </r>
    <r>
      <rPr>
        <sz val="6"/>
        <color rgb="FF444444"/>
        <rFont val="Consolas"/>
        <family val="3"/>
      </rPr>
      <t xml:space="preserve"> m</t>
    </r>
  </si>
  <si>
    <r>
      <t xml:space="preserve">    </t>
    </r>
    <r>
      <rPr>
        <sz val="6"/>
        <color rgb="FF000000"/>
        <rFont val="Consolas"/>
        <family val="3"/>
      </rPr>
      <t>)</t>
    </r>
  </si>
  <si>
    <r>
      <t xml:space="preserve">    </t>
    </r>
    <r>
      <rPr>
        <sz val="6"/>
        <color rgb="FF0000FF"/>
        <rFont val="Consolas"/>
        <family val="3"/>
      </rPr>
      <t>SELECT</t>
    </r>
  </si>
  <si>
    <r>
      <t>      SUM</t>
    </r>
    <r>
      <rPr>
        <sz val="6"/>
        <color rgb="FF000000"/>
        <rFont val="Consolas"/>
        <family val="3"/>
      </rPr>
      <t>(</t>
    </r>
  </si>
  <si>
    <r>
      <t xml:space="preserve">        </t>
    </r>
    <r>
      <rPr>
        <sz val="6"/>
        <color rgb="FF0000FF"/>
        <rFont val="Consolas"/>
        <family val="3"/>
      </rPr>
      <t>CASE</t>
    </r>
  </si>
  <si>
    <r>
      <t xml:space="preserve">          </t>
    </r>
    <r>
      <rPr>
        <sz val="6"/>
        <color rgb="FF0000FF"/>
        <rFont val="Consolas"/>
        <family val="3"/>
      </rPr>
      <t>WHEN</t>
    </r>
    <r>
      <rPr>
        <sz val="6"/>
        <color rgb="FF444444"/>
        <rFont val="Consolas"/>
        <family val="3"/>
      </rPr>
      <t xml:space="preserve"> p_exchange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'JP'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fee_currency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'USD'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</si>
  <si>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>           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price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quantity </t>
    </r>
    <r>
      <rPr>
        <sz val="6"/>
        <color rgb="FF778899"/>
        <rFont val="Consolas"/>
        <family val="3"/>
      </rPr>
      <t>+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fee_amount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v_rate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quantity </t>
    </r>
    <r>
      <rPr>
        <sz val="6"/>
        <color rgb="FF778899"/>
        <rFont val="Consolas"/>
        <family val="3"/>
      </rPr>
      <t>/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quantity</t>
    </r>
  </si>
  <si>
    <r>
      <t xml:space="preserve">          </t>
    </r>
    <r>
      <rPr>
        <sz val="6"/>
        <color rgb="FF0000FF"/>
        <rFont val="Consolas"/>
        <family val="3"/>
      </rPr>
      <t>WHEN</t>
    </r>
    <r>
      <rPr>
        <sz val="6"/>
        <color rgb="FF444444"/>
        <rFont val="Consolas"/>
        <family val="3"/>
      </rPr>
      <t xml:space="preserve"> p_exchange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'US'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fee_currency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'JPY'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</si>
  <si>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>           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price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quantity </t>
    </r>
    <r>
      <rPr>
        <sz val="6"/>
        <color rgb="FF778899"/>
        <rFont val="Consolas"/>
        <family val="3"/>
      </rPr>
      <t>+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fee_amount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quantity </t>
    </r>
    <r>
      <rPr>
        <sz val="6"/>
        <color rgb="FF778899"/>
        <rFont val="Consolas"/>
        <family val="3"/>
      </rPr>
      <t>/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quantity </t>
    </r>
    <r>
      <rPr>
        <sz val="6"/>
        <color rgb="FF778899"/>
        <rFont val="Consolas"/>
        <family val="3"/>
      </rPr>
      <t>/</t>
    </r>
    <r>
      <rPr>
        <sz val="6"/>
        <color rgb="FF444444"/>
        <rFont val="Consolas"/>
        <family val="3"/>
      </rPr>
      <t xml:space="preserve"> v_rate</t>
    </r>
  </si>
  <si>
    <r>
      <t xml:space="preserve">          </t>
    </r>
    <r>
      <rPr>
        <sz val="6"/>
        <color rgb="FF0000FF"/>
        <rFont val="Consolas"/>
        <family val="3"/>
      </rPr>
      <t>ELSE</t>
    </r>
  </si>
  <si>
    <r>
      <t>           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price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quantity </t>
    </r>
    <r>
      <rPr>
        <sz val="6"/>
        <color rgb="FF778899"/>
        <rFont val="Consolas"/>
        <family val="3"/>
      </rPr>
      <t>+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fee_amount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quantity </t>
    </r>
    <r>
      <rPr>
        <sz val="6"/>
        <color rgb="FF778899"/>
        <rFont val="Consolas"/>
        <family val="3"/>
      </rPr>
      <t>/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quantity</t>
    </r>
  </si>
  <si>
    <r>
      <t xml:space="preserve">        </t>
    </r>
    <r>
      <rPr>
        <sz val="6"/>
        <color rgb="FF0000FF"/>
        <rFont val="Consolas"/>
        <family val="3"/>
      </rPr>
      <t>END</t>
    </r>
  </si>
  <si>
    <r>
      <t xml:space="preserve">      </t>
    </r>
    <r>
      <rPr>
        <sz val="6"/>
        <color rgb="FF000000"/>
        <rFont val="Consolas"/>
        <family val="3"/>
      </rPr>
      <t>)</t>
    </r>
  </si>
  <si>
    <r>
      <t xml:space="preserve">   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v_cost</t>
    </r>
  </si>
  <si>
    <r>
      <t xml:space="preserve">   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trade_records tr</t>
    </r>
  </si>
  <si>
    <r>
      <t xml:space="preserve">    </t>
    </r>
    <r>
      <rPr>
        <sz val="6"/>
        <color rgb="FF778899"/>
        <rFont val="Consolas"/>
        <family val="3"/>
      </rPr>
      <t>INNER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JOIN</t>
    </r>
    <r>
      <rPr>
        <sz val="6"/>
        <color rgb="FF444444"/>
        <rFont val="Consolas"/>
        <family val="3"/>
      </rPr>
      <t xml:space="preserve"> m </t>
    </r>
    <r>
      <rPr>
        <sz val="6"/>
        <color rgb="FF0000FF"/>
        <rFont val="Consolas"/>
        <family val="3"/>
      </rPr>
      <t>ON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buy_id</t>
    </r>
  </si>
  <si>
    <r>
      <t xml:space="preserve">   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user_id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p_user_id</t>
    </r>
  </si>
  <si>
    <r>
      <t xml:space="preserve">   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tr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account_id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p_account_id</t>
    </r>
    <r>
      <rPr>
        <sz val="6"/>
        <color rgb="FF000000"/>
        <rFont val="Consolas"/>
        <family val="3"/>
      </rPr>
      <t>;</t>
    </r>
  </si>
  <si>
    <r>
      <t xml:space="preserve">    </t>
    </r>
    <r>
      <rPr>
        <sz val="6"/>
        <color rgb="FF666666"/>
        <rFont val="Consolas"/>
        <family val="3"/>
      </rPr>
      <t>-- v_value 计算</t>
    </r>
  </si>
  <si>
    <r>
      <t xml:space="preserve">    IF p_exchange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'JP'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p_fee_currency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'USD'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</si>
  <si>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>      v_value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p_price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p_quantity </t>
    </r>
    <r>
      <rPr>
        <sz val="6"/>
        <color rgb="FF778899"/>
        <rFont val="Consolas"/>
        <family val="3"/>
      </rPr>
      <t>-</t>
    </r>
    <r>
      <rPr>
        <sz val="6"/>
        <color rgb="FF444444"/>
        <rFont val="Consolas"/>
        <family val="3"/>
      </rPr>
      <t xml:space="preserve"> p_fee_amount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v_rate</t>
    </r>
    <r>
      <rPr>
        <sz val="6"/>
        <color rgb="FF000000"/>
        <rFont val="Consolas"/>
        <family val="3"/>
      </rPr>
      <t>;</t>
    </r>
  </si>
  <si>
    <r>
      <t xml:space="preserve">    ELSIF p_exchange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'US'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p_fee_currency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'JPY'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</si>
  <si>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>      v_value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p_price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p_quantity </t>
    </r>
    <r>
      <rPr>
        <sz val="6"/>
        <color rgb="FF778899"/>
        <rFont val="Consolas"/>
        <family val="3"/>
      </rPr>
      <t>-</t>
    </r>
    <r>
      <rPr>
        <sz val="6"/>
        <color rgb="FF444444"/>
        <rFont val="Consolas"/>
        <family val="3"/>
      </rPr>
      <t xml:space="preserve"> p_fee_amount </t>
    </r>
    <r>
      <rPr>
        <sz val="6"/>
        <color rgb="FF778899"/>
        <rFont val="Consolas"/>
        <family val="3"/>
      </rPr>
      <t>/</t>
    </r>
    <r>
      <rPr>
        <sz val="6"/>
        <color rgb="FF444444"/>
        <rFont val="Consolas"/>
        <family val="3"/>
      </rPr>
      <t xml:space="preserve"> v_rate</t>
    </r>
    <r>
      <rPr>
        <sz val="6"/>
        <color rgb="FF000000"/>
        <rFont val="Consolas"/>
        <family val="3"/>
      </rPr>
      <t>;</t>
    </r>
  </si>
  <si>
    <r>
      <t xml:space="preserve">    </t>
    </r>
    <r>
      <rPr>
        <sz val="6"/>
        <color rgb="FF0000FF"/>
        <rFont val="Consolas"/>
        <family val="3"/>
      </rPr>
      <t>ELSE</t>
    </r>
  </si>
  <si>
    <r>
      <t>      v_value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p_price </t>
    </r>
    <r>
      <rPr>
        <sz val="6"/>
        <color rgb="FF778899"/>
        <rFont val="Consolas"/>
        <family val="3"/>
      </rPr>
      <t>*</t>
    </r>
    <r>
      <rPr>
        <sz val="6"/>
        <color rgb="FF444444"/>
        <rFont val="Consolas"/>
        <family val="3"/>
      </rPr>
      <t xml:space="preserve"> p_quantity </t>
    </r>
    <r>
      <rPr>
        <sz val="6"/>
        <color rgb="FF778899"/>
        <rFont val="Consolas"/>
        <family val="3"/>
      </rPr>
      <t>-</t>
    </r>
    <r>
      <rPr>
        <sz val="6"/>
        <color rgb="FF444444"/>
        <rFont val="Consolas"/>
        <family val="3"/>
      </rPr>
      <t xml:space="preserve"> p_fee_amount</t>
    </r>
    <r>
      <rPr>
        <sz val="6"/>
        <color rgb="FF000000"/>
        <rFont val="Consolas"/>
        <family val="3"/>
      </rPr>
      <t>;</t>
    </r>
  </si>
  <si>
    <r>
      <t xml:space="preserve">    </t>
    </r>
    <r>
      <rPr>
        <sz val="6"/>
        <color rgb="FF0000FF"/>
        <rFont val="Consolas"/>
        <family val="3"/>
      </rPr>
      <t>END</t>
    </r>
    <r>
      <rPr>
        <sz val="6"/>
        <color rgb="FF444444"/>
        <rFont val="Consolas"/>
        <family val="3"/>
      </rPr>
      <t xml:space="preserve"> IF</t>
    </r>
    <r>
      <rPr>
        <sz val="6"/>
        <color rgb="FF000000"/>
        <rFont val="Consolas"/>
        <family val="3"/>
      </rPr>
      <t>;</t>
    </r>
  </si>
  <si>
    <r>
      <t xml:space="preserve">    </t>
    </r>
    <r>
      <rPr>
        <sz val="6"/>
        <color rgb="FF666666"/>
        <rFont val="Consolas"/>
        <family val="3"/>
      </rPr>
      <t>-- 计算收益</t>
    </r>
  </si>
  <si>
    <r>
      <t>    v_profit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v_value </t>
    </r>
    <r>
      <rPr>
        <sz val="6"/>
        <color rgb="FF778899"/>
        <rFont val="Consolas"/>
        <family val="3"/>
      </rPr>
      <t>-</t>
    </r>
    <r>
      <rPr>
        <sz val="6"/>
        <color rgb="FF444444"/>
        <rFont val="Consolas"/>
        <family val="3"/>
      </rPr>
      <t xml:space="preserve"> v_cost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</si>
  <si>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0000FF"/>
        <rFont val="Consolas"/>
        <family val="3"/>
      </rPr>
      <t>END</t>
    </r>
    <r>
      <rPr>
        <sz val="6"/>
        <color rgb="FF444444"/>
        <rFont val="Consolas"/>
        <family val="3"/>
      </rPr>
      <t xml:space="preserve"> IF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</si>
  <si>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插入交易记录</t>
    </r>
  </si>
  <si>
    <r>
      <t xml:space="preserve">  INSERT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trade_records </t>
    </r>
    <r>
      <rPr>
        <sz val="6"/>
        <color rgb="FF000000"/>
        <rFont val="Consolas"/>
        <family val="3"/>
      </rPr>
      <t>(</t>
    </r>
  </si>
  <si>
    <r>
      <t>    user_id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account_id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asset_type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asset_id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trade_date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action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trade_type</t>
    </r>
    <r>
      <rPr>
        <sz val="6"/>
        <color rgb="FF000000"/>
        <rFont val="Consolas"/>
        <family val="3"/>
      </rPr>
      <t>,</t>
    </r>
  </si>
  <si>
    <r>
      <t>    quantity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price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fee_amount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fee_currency</t>
    </r>
    <r>
      <rPr>
        <sz val="6"/>
        <color rgb="FF000000"/>
        <rFont val="Consolas"/>
        <family val="3"/>
      </rPr>
      <t>,</t>
    </r>
  </si>
  <si>
    <r>
      <t>    remark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created_at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updated_at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profit</t>
    </r>
  </si>
  <si>
    <r>
      <t xml:space="preserve">  </t>
    </r>
    <r>
      <rPr>
        <sz val="6"/>
        <color rgb="FF000000"/>
        <rFont val="Consolas"/>
        <family val="3"/>
      </rPr>
      <t>)</t>
    </r>
  </si>
  <si>
    <r>
      <t xml:space="preserve">  VALUES </t>
    </r>
    <r>
      <rPr>
        <sz val="6"/>
        <color rgb="FF000000"/>
        <rFont val="Consolas"/>
        <family val="3"/>
      </rPr>
      <t>(</t>
    </r>
  </si>
  <si>
    <r>
      <t>    p_user_id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p_account_id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p_asset_type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p_asset_id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p_trade_date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p_action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p_trade_type</t>
    </r>
    <r>
      <rPr>
        <sz val="6"/>
        <color rgb="FF000000"/>
        <rFont val="Consolas"/>
        <family val="3"/>
      </rPr>
      <t>,</t>
    </r>
  </si>
  <si>
    <r>
      <t>    p_quantity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p_price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COALESCE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p_fee_amount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</t>
    </r>
    <r>
      <rPr>
        <sz val="6"/>
        <color rgb="FF098658"/>
        <rFont val="Consolas"/>
        <family val="3"/>
      </rPr>
      <t>0</t>
    </r>
    <r>
      <rPr>
        <sz val="6"/>
        <color rgb="FF000000"/>
        <rFont val="Consolas"/>
        <family val="3"/>
      </rPr>
      <t>),</t>
    </r>
    <r>
      <rPr>
        <sz val="6"/>
        <color rgb="FF444444"/>
        <rFont val="Consolas"/>
        <family val="3"/>
      </rPr>
      <t xml:space="preserve"> p_fee_currency</t>
    </r>
    <r>
      <rPr>
        <sz val="6"/>
        <color rgb="FF000000"/>
        <rFont val="Consolas"/>
        <family val="3"/>
      </rPr>
      <t>,</t>
    </r>
  </si>
  <si>
    <r>
      <t>    p_remark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now</t>
    </r>
    <r>
      <rPr>
        <sz val="6"/>
        <color rgb="FF000000"/>
        <rFont val="Consolas"/>
        <family val="3"/>
      </rPr>
      <t>(),</t>
    </r>
    <r>
      <rPr>
        <sz val="6"/>
        <color rgb="FF444444"/>
        <rFont val="Consolas"/>
        <family val="3"/>
      </rPr>
      <t xml:space="preserve"> now</t>
    </r>
    <r>
      <rPr>
        <sz val="6"/>
        <color rgb="FF000000"/>
        <rFont val="Consolas"/>
        <family val="3"/>
      </rPr>
      <t>(),</t>
    </r>
    <r>
      <rPr>
        <sz val="6"/>
        <color rgb="FF444444"/>
        <rFont val="Consolas"/>
        <family val="3"/>
      </rPr>
      <t xml:space="preserve"> v_profit</t>
    </r>
  </si>
  <si>
    <r>
      <t xml:space="preserve">  </t>
    </r>
    <r>
      <rPr>
        <sz val="6"/>
        <color rgb="FF0000FF"/>
        <rFont val="Consolas"/>
        <family val="3"/>
      </rPr>
      <t>RETURNING</t>
    </r>
    <r>
      <rPr>
        <sz val="6"/>
        <color rgb="FF444444"/>
        <rFont val="Consolas"/>
        <family val="3"/>
      </rPr>
      <t xml:space="preserve"> id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v_id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</si>
  <si>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如果是卖出，插入卖出-买入对应关系</t>
    </r>
  </si>
  <si>
    <r>
      <t xml:space="preserve">    INSERT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trade_sell_mappings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sell_id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buy_id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quantity</t>
    </r>
    <r>
      <rPr>
        <sz val="6"/>
        <color rgb="FF000000"/>
        <rFont val="Consolas"/>
        <family val="3"/>
      </rPr>
      <t>)</t>
    </r>
  </si>
  <si>
    <r>
      <t>      v_id</t>
    </r>
    <r>
      <rPr>
        <sz val="6"/>
        <color rgb="FF000000"/>
        <rFont val="Consolas"/>
        <family val="3"/>
      </rPr>
      <t>,</t>
    </r>
  </si>
  <si>
    <r>
      <t xml:space="preserve">     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m</t>
    </r>
    <r>
      <rPr>
        <sz val="6"/>
        <color rgb="FF778899"/>
        <rFont val="Consolas"/>
        <family val="3"/>
      </rPr>
      <t>-&gt;&gt;</t>
    </r>
    <r>
      <rPr>
        <sz val="6"/>
        <color rgb="FF24B47E"/>
        <rFont val="Consolas"/>
        <family val="3"/>
      </rPr>
      <t>'buy_id'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>::bigint</t>
    </r>
    <r>
      <rPr>
        <sz val="6"/>
        <color rgb="FF000000"/>
        <rFont val="Consolas"/>
        <family val="3"/>
      </rPr>
      <t>,</t>
    </r>
  </si>
  <si>
    <r>
      <t xml:space="preserve">     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m</t>
    </r>
    <r>
      <rPr>
        <sz val="6"/>
        <color rgb="FF778899"/>
        <rFont val="Consolas"/>
        <family val="3"/>
      </rPr>
      <t>-&gt;&gt;</t>
    </r>
    <r>
      <rPr>
        <sz val="6"/>
        <color rgb="FF24B47E"/>
        <rFont val="Consolas"/>
        <family val="3"/>
      </rPr>
      <t>'quantity'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>::numeric</t>
    </r>
  </si>
  <si>
    <r>
      <t xml:space="preserve">   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jsonb_array_elements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p_sell_mappings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AS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</si>
  <si>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更新 accounts 表的 updated_at，表示该账户数据已被修改</t>
    </r>
  </si>
  <si>
    <r>
      <t xml:space="preserve">  IF p_account_id </t>
    </r>
    <r>
      <rPr>
        <sz val="6"/>
        <color rgb="FF778899"/>
        <rFont val="Consolas"/>
        <family val="3"/>
      </rPr>
      <t>IS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NOT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NULL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</si>
  <si>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>    UPDATE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accounts</t>
    </r>
  </si>
  <si>
    <r>
      <t xml:space="preserve">    SET updated_at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now</t>
    </r>
    <r>
      <rPr>
        <sz val="6"/>
        <color rgb="FF000000"/>
        <rFont val="Consolas"/>
        <family val="3"/>
      </rPr>
      <t>()</t>
    </r>
  </si>
  <si>
    <r>
      <t xml:space="preserve">   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p_account_id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</si>
  <si>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读取并返回更新后的 updated_at</t>
    </r>
  </si>
  <si>
    <r>
      <t xml:space="preserve">  </t>
    </r>
    <r>
      <rPr>
        <sz val="6"/>
        <color rgb="FF0000FF"/>
        <rFont val="Consolas"/>
        <family val="3"/>
      </rPr>
      <t>SELECT</t>
    </r>
    <r>
      <rPr>
        <sz val="6"/>
        <color rgb="FF444444"/>
        <rFont val="Consolas"/>
        <family val="3"/>
      </rPr>
      <t xml:space="preserve"> updated_at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v_updated_at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accounts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p_account_id</t>
    </r>
    <r>
      <rPr>
        <sz val="6"/>
        <color rgb="FF000000"/>
        <rFont val="Consolas"/>
        <family val="3"/>
      </rPr>
      <t>;</t>
    </r>
  </si>
  <si>
    <r>
      <t>  trade_id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v_id</t>
    </r>
    <r>
      <rPr>
        <sz val="6"/>
        <color rgb="FF000000"/>
        <rFont val="Consolas"/>
        <family val="3"/>
      </rPr>
      <t>;</t>
    </r>
  </si>
  <si>
    <r>
      <t>  account_updated_at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v_updated_at</t>
    </r>
    <r>
      <rPr>
        <sz val="6"/>
        <color rgb="FF000000"/>
        <rFont val="Consolas"/>
        <family val="3"/>
      </rPr>
      <t>;</t>
    </r>
  </si>
  <si>
    <r>
      <t>  profit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v_profit</t>
    </r>
    <r>
      <rPr>
        <sz val="6"/>
        <color rgb="FF000000"/>
        <rFont val="Consolas"/>
        <family val="3"/>
      </rPr>
      <t>;</t>
    </r>
  </si>
  <si>
    <r>
      <t>  RETURN NEXT</t>
    </r>
    <r>
      <rPr>
        <sz val="6"/>
        <color rgb="FF000000"/>
        <rFont val="Consolas"/>
        <family val="3"/>
      </rPr>
      <t>;</t>
    </r>
  </si>
  <si>
    <r>
      <t>END</t>
    </r>
    <r>
      <rPr>
        <sz val="6"/>
        <color rgb="FF000000"/>
        <rFont val="Consolas"/>
        <family val="3"/>
      </rPr>
      <t>;</t>
    </r>
  </si>
  <si>
    <r>
      <t>$$</t>
    </r>
    <r>
      <rPr>
        <sz val="6"/>
        <color rgb="FF000000"/>
        <rFont val="Consolas"/>
        <family val="3"/>
      </rPr>
      <t>;</t>
    </r>
  </si>
  <si>
    <r>
      <t>  p_id bigint</t>
    </r>
    <r>
      <rPr>
        <sz val="6"/>
        <color rgb="FF000000"/>
        <rFont val="Consolas"/>
        <family val="3"/>
      </rPr>
      <t>,</t>
    </r>
  </si>
  <si>
    <r>
      <t xml:space="preserve">RETURNS </t>
    </r>
    <r>
      <rPr>
        <sz val="6"/>
        <color rgb="FF0000FF"/>
        <rFont val="Consolas"/>
        <family val="3"/>
      </rPr>
      <t>TABLE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account_updated_at timestamptz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profit numeric</t>
    </r>
    <r>
      <rPr>
        <sz val="6"/>
        <color rgb="FF000000"/>
        <rFont val="Consolas"/>
        <family val="3"/>
      </rPr>
      <t>)</t>
    </r>
  </si>
  <si>
    <r>
      <t>  v_action text</t>
    </r>
    <r>
      <rPr>
        <sz val="6"/>
        <color rgb="FF000000"/>
        <rFont val="Consolas"/>
        <family val="3"/>
      </rPr>
      <t>;</t>
    </r>
  </si>
  <si>
    <r>
      <t>  v_quantity_before numeric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</si>
  <si>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更新 trade_records，并取得 action 字段（你要求的字段）</t>
    </r>
  </si>
  <si>
    <r>
      <t>  UPDATE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trade_records</t>
    </r>
  </si>
  <si>
    <t>  SET</t>
  </si>
  <si>
    <r>
      <t xml:space="preserve">    trade_date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p_trade_date</t>
    </r>
    <r>
      <rPr>
        <sz val="6"/>
        <color rgb="FF000000"/>
        <rFont val="Consolas"/>
        <family val="3"/>
      </rPr>
      <t>,</t>
    </r>
  </si>
  <si>
    <r>
      <t xml:space="preserve">    trade_type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p_trade_type</t>
    </r>
    <r>
      <rPr>
        <sz val="6"/>
        <color rgb="FF000000"/>
        <rFont val="Consolas"/>
        <family val="3"/>
      </rPr>
      <t>,</t>
    </r>
  </si>
  <si>
    <r>
      <t xml:space="preserve">    quantity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p_quantity</t>
    </r>
    <r>
      <rPr>
        <sz val="6"/>
        <color rgb="FF000000"/>
        <rFont val="Consolas"/>
        <family val="3"/>
      </rPr>
      <t>,</t>
    </r>
  </si>
  <si>
    <r>
      <t xml:space="preserve">    price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p_price</t>
    </r>
    <r>
      <rPr>
        <sz val="6"/>
        <color rgb="FF000000"/>
        <rFont val="Consolas"/>
        <family val="3"/>
      </rPr>
      <t>,</t>
    </r>
  </si>
  <si>
    <r>
      <t xml:space="preserve">    fee_amount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COALESCE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p_fee_amount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</t>
    </r>
    <r>
      <rPr>
        <sz val="6"/>
        <color rgb="FF098658"/>
        <rFont val="Consolas"/>
        <family val="3"/>
      </rPr>
      <t>0</t>
    </r>
    <r>
      <rPr>
        <sz val="6"/>
        <color rgb="FF000000"/>
        <rFont val="Consolas"/>
        <family val="3"/>
      </rPr>
      <t>),</t>
    </r>
  </si>
  <si>
    <r>
      <t xml:space="preserve">    fee_currency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p_fee_currency</t>
    </r>
    <r>
      <rPr>
        <sz val="6"/>
        <color rgb="FF000000"/>
        <rFont val="Consolas"/>
        <family val="3"/>
      </rPr>
      <t>,</t>
    </r>
  </si>
  <si>
    <r>
      <t xml:space="preserve">    remark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p_remark</t>
    </r>
    <r>
      <rPr>
        <sz val="6"/>
        <color rgb="FF000000"/>
        <rFont val="Consolas"/>
        <family val="3"/>
      </rPr>
      <t>,</t>
    </r>
  </si>
  <si>
    <r>
      <t xml:space="preserve">    updated_at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now</t>
    </r>
    <r>
      <rPr>
        <sz val="6"/>
        <color rgb="FF000000"/>
        <rFont val="Consolas"/>
        <family val="3"/>
      </rPr>
      <t>(),</t>
    </r>
  </si>
  <si>
    <r>
      <t xml:space="preserve">    profit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v_profit</t>
    </r>
  </si>
  <si>
    <r>
      <t xml:space="preserve"> 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p_id</t>
    </r>
  </si>
  <si>
    <r>
      <t xml:space="preserve">   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user_id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p_user_id</t>
    </r>
  </si>
  <si>
    <r>
      <t xml:space="preserve">   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account_id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p_account_id</t>
    </r>
  </si>
  <si>
    <r>
      <t xml:space="preserve">  </t>
    </r>
    <r>
      <rPr>
        <sz val="6"/>
        <color rgb="FF0000FF"/>
        <rFont val="Consolas"/>
        <family val="3"/>
      </rPr>
      <t>RETURNING</t>
    </r>
    <r>
      <rPr>
        <sz val="6"/>
        <color rgb="FF444444"/>
        <rFont val="Consolas"/>
        <family val="3"/>
      </rPr>
      <t xml:space="preserve"> action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v_action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</si>
  <si>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未命中任何记录 → 返回一行 NULL（符合 RETURNS TABLE）</t>
    </r>
  </si>
  <si>
    <r>
      <t xml:space="preserve">  IF v_action </t>
    </r>
    <r>
      <rPr>
        <sz val="6"/>
        <color rgb="FF778899"/>
        <rFont val="Consolas"/>
        <family val="3"/>
      </rPr>
      <t>IS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NULL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</si>
  <si>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 xml:space="preserve">    RETURN QUERY </t>
    </r>
    <r>
      <rPr>
        <sz val="6"/>
        <color rgb="FF0000FF"/>
        <rFont val="Consolas"/>
        <family val="3"/>
      </rPr>
      <t>SELECT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NULL</t>
    </r>
    <r>
      <rPr>
        <sz val="6"/>
        <color rgb="FF444444"/>
        <rFont val="Consolas"/>
        <family val="3"/>
      </rPr>
      <t>::timestamptz</t>
    </r>
    <r>
      <rPr>
        <sz val="6"/>
        <color rgb="FF000000"/>
        <rFont val="Consolas"/>
        <family val="3"/>
      </rPr>
      <t>;</t>
    </r>
  </si>
  <si>
    <r>
      <t>    RETURN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</si>
  <si>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若 action 表示卖出，则重建映射</t>
    </r>
  </si>
  <si>
    <r>
      <t xml:space="preserve">  IF v_action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'sell'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</si>
  <si>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 xml:space="preserve">    DELETE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trade_sell_mappings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sell_id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p_id</t>
    </r>
    <r>
      <rPr>
        <sz val="6"/>
        <color rgb="FF000000"/>
        <rFont val="Consolas"/>
        <family val="3"/>
      </rPr>
      <t>;</t>
    </r>
  </si>
  <si>
    <r>
      <t xml:space="preserve">    IF p_sell_mappings </t>
    </r>
    <r>
      <rPr>
        <sz val="6"/>
        <color rgb="FF778899"/>
        <rFont val="Consolas"/>
        <family val="3"/>
      </rPr>
      <t>IS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NOT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NULL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</si>
  <si>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 xml:space="preserve">      INSERT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 xml:space="preserve">trade_sell_mappings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sell_id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buy_id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quantity</t>
    </r>
    <r>
      <rPr>
        <sz val="6"/>
        <color rgb="FF000000"/>
        <rFont val="Consolas"/>
        <family val="3"/>
      </rPr>
      <t>)</t>
    </r>
  </si>
  <si>
    <r>
      <t>        p_id</t>
    </r>
    <r>
      <rPr>
        <sz val="6"/>
        <color rgb="FF000000"/>
        <rFont val="Consolas"/>
        <family val="3"/>
      </rPr>
      <t>,</t>
    </r>
  </si>
  <si>
    <r>
      <t xml:space="preserve">       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m</t>
    </r>
    <r>
      <rPr>
        <sz val="6"/>
        <color rgb="FF778899"/>
        <rFont val="Consolas"/>
        <family val="3"/>
      </rPr>
      <t>-&gt;&gt;</t>
    </r>
    <r>
      <rPr>
        <sz val="6"/>
        <color rgb="FF24B47E"/>
        <rFont val="Consolas"/>
        <family val="3"/>
      </rPr>
      <t>'buy_id'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>::bigint</t>
    </r>
    <r>
      <rPr>
        <sz val="6"/>
        <color rgb="FF000000"/>
        <rFont val="Consolas"/>
        <family val="3"/>
      </rPr>
      <t>,</t>
    </r>
  </si>
  <si>
    <r>
      <t xml:space="preserve">        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m</t>
    </r>
    <r>
      <rPr>
        <sz val="6"/>
        <color rgb="FF778899"/>
        <rFont val="Consolas"/>
        <family val="3"/>
      </rPr>
      <t>-&gt;&gt;</t>
    </r>
    <r>
      <rPr>
        <sz val="6"/>
        <color rgb="FF24B47E"/>
        <rFont val="Consolas"/>
        <family val="3"/>
      </rPr>
      <t>'quantity'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>::numeric</t>
    </r>
  </si>
  <si>
    <r>
      <t xml:space="preserve">     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jsonb_array_elements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p_sell_mappings</t>
    </r>
    <r>
      <rPr>
        <sz val="6"/>
        <color rgb="FF000000"/>
        <rFont val="Consolas"/>
        <family val="3"/>
      </rPr>
      <t>)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AS</t>
    </r>
    <r>
      <rPr>
        <sz val="6"/>
        <color rgb="FF444444"/>
        <rFont val="Consolas"/>
        <family val="3"/>
      </rPr>
      <t xml:space="preserve"> m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</si>
  <si>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更新 accounts.updated_at（若有指定账户）</t>
    </r>
  </si>
  <si>
    <r>
      <t xml:space="preserve">    </t>
    </r>
    <r>
      <rPr>
        <sz val="6"/>
        <color rgb="FF0000FF"/>
        <rFont val="Consolas"/>
        <family val="3"/>
      </rPr>
      <t>SELECT</t>
    </r>
    <r>
      <rPr>
        <sz val="6"/>
        <color rgb="FF444444"/>
        <rFont val="Consolas"/>
        <family val="3"/>
      </rPr>
      <t xml:space="preserve"> updated_at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v_updated_at</t>
    </r>
  </si>
  <si>
    <r>
      <t xml:space="preserve">   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accounts</t>
    </r>
  </si>
  <si>
    <r>
      <t xml:space="preserve">  </t>
    </r>
    <r>
      <rPr>
        <sz val="6"/>
        <color rgb="FF0000FF"/>
        <rFont val="Consolas"/>
        <family val="3"/>
      </rPr>
      <t>ELSE</t>
    </r>
  </si>
  <si>
    <r>
      <t>    v_updated_at :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NULL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</si>
  <si>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返回表格式的结果</t>
    </r>
  </si>
  <si>
    <r>
      <t xml:space="preserve">  RETURN QUERY </t>
    </r>
    <r>
      <rPr>
        <sz val="6"/>
        <color rgb="FF0000FF"/>
        <rFont val="Consolas"/>
        <family val="3"/>
      </rPr>
      <t>SELECT</t>
    </r>
    <r>
      <rPr>
        <sz val="6"/>
        <color rgb="FF444444"/>
        <rFont val="Consolas"/>
        <family val="3"/>
      </rPr>
      <t xml:space="preserve"> v_updated_at</t>
    </r>
    <r>
      <rPr>
        <sz val="6"/>
        <color rgb="FF000000"/>
        <rFont val="Consolas"/>
        <family val="3"/>
      </rPr>
      <t>,</t>
    </r>
    <r>
      <rPr>
        <sz val="6"/>
        <color rgb="FF444444"/>
        <rFont val="Consolas"/>
        <family val="3"/>
      </rPr>
      <t xml:space="preserve"> v_profit</t>
    </r>
    <r>
      <rPr>
        <sz val="6"/>
        <color rgb="FF000000"/>
        <rFont val="Consolas"/>
        <family val="3"/>
      </rPr>
      <t>;</t>
    </r>
  </si>
  <si>
    <r>
      <t>CREATE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OR</t>
    </r>
    <r>
      <rPr>
        <sz val="6"/>
        <color rgb="FF444444"/>
        <rFont val="Consolas"/>
        <family val="3"/>
      </rPr>
      <t xml:space="preserve"> REPLACE FUNCTION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update_trade_and_update_account</t>
    </r>
    <r>
      <rPr>
        <sz val="6"/>
        <color rgb="FF000000"/>
        <rFont val="Consolas"/>
        <family val="3"/>
      </rPr>
      <t>(</t>
    </r>
    <phoneticPr fontId="2"/>
  </si>
  <si>
    <r>
      <t>  p_trade_id bigint</t>
    </r>
    <r>
      <rPr>
        <sz val="6"/>
        <color rgb="FF000000"/>
        <rFont val="Consolas"/>
        <family val="3"/>
      </rPr>
      <t>,</t>
    </r>
  </si>
  <si>
    <t>  p_account_id bigint</t>
  </si>
  <si>
    <r>
      <t xml:space="preserve">RETURNS </t>
    </r>
    <r>
      <rPr>
        <sz val="6"/>
        <color rgb="FF0000FF"/>
        <rFont val="Consolas"/>
        <family val="3"/>
      </rPr>
      <t>TABLE</t>
    </r>
    <r>
      <rPr>
        <sz val="6"/>
        <color rgb="FF000000"/>
        <rFont val="Consolas"/>
        <family val="3"/>
      </rPr>
      <t>(</t>
    </r>
    <r>
      <rPr>
        <sz val="6"/>
        <color rgb="FF444444"/>
        <rFont val="Consolas"/>
        <family val="3"/>
      </rPr>
      <t>account_updated_at timestamptz</t>
    </r>
    <r>
      <rPr>
        <sz val="6"/>
        <color rgb="FF000000"/>
        <rFont val="Consolas"/>
        <family val="3"/>
      </rPr>
      <t>)</t>
    </r>
  </si>
  <si>
    <t>declare</t>
  </si>
  <si>
    <t>begin</t>
  </si>
  <si>
    <r>
      <t xml:space="preserve">  </t>
    </r>
    <r>
      <rPr>
        <sz val="6"/>
        <color rgb="FF666666"/>
        <rFont val="Consolas"/>
        <family val="3"/>
      </rPr>
      <t>-- 查询交易是否存在，并获取 action</t>
    </r>
  </si>
  <si>
    <r>
      <t xml:space="preserve">  </t>
    </r>
    <r>
      <rPr>
        <sz val="6"/>
        <color rgb="FF0000FF"/>
        <rFont val="Consolas"/>
        <family val="3"/>
      </rPr>
      <t>select</t>
    </r>
    <r>
      <rPr>
        <sz val="6"/>
        <color rgb="FF444444"/>
        <rFont val="Consolas"/>
        <family val="3"/>
      </rPr>
      <t xml:space="preserve"> action </t>
    </r>
    <r>
      <rPr>
        <sz val="6"/>
        <color rgb="FF0000FF"/>
        <rFont val="Consolas"/>
        <family val="3"/>
      </rPr>
      <t>into</t>
    </r>
    <r>
      <rPr>
        <sz val="6"/>
        <color rgb="FF444444"/>
        <rFont val="Consolas"/>
        <family val="3"/>
      </rPr>
      <t xml:space="preserve"> v_action</t>
    </r>
  </si>
  <si>
    <r>
      <t xml:space="preserve"> 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trade_records</t>
    </r>
  </si>
  <si>
    <r>
      <t xml:space="preserve"> 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p_trade_id</t>
    </r>
  </si>
  <si>
    <r>
      <t xml:space="preserve">   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user_id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p_user_id</t>
    </r>
  </si>
  <si>
    <r>
      <t xml:space="preserve">   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account_id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p_account_id</t>
    </r>
  </si>
  <si>
    <r>
      <t xml:space="preserve">  </t>
    </r>
    <r>
      <rPr>
        <sz val="6"/>
        <color rgb="FF0000FF"/>
        <rFont val="Consolas"/>
        <family val="3"/>
      </rPr>
      <t>for</t>
    </r>
    <r>
      <rPr>
        <sz val="6"/>
        <color rgb="FF444444"/>
        <rFont val="Consolas"/>
        <family val="3"/>
      </rPr>
      <t xml:space="preserve"> update</t>
    </r>
    <r>
      <rPr>
        <sz val="6"/>
        <color rgb="FF000000"/>
        <rFont val="Consolas"/>
        <family val="3"/>
      </rPr>
      <t>;</t>
    </r>
  </si>
  <si>
    <r>
      <t xml:space="preserve">  if </t>
    </r>
    <r>
      <rPr>
        <sz val="6"/>
        <color rgb="FF778899"/>
        <rFont val="Consolas"/>
        <family val="3"/>
      </rPr>
      <t>not</t>
    </r>
    <r>
      <rPr>
        <sz val="6"/>
        <color rgb="FF444444"/>
        <rFont val="Consolas"/>
        <family val="3"/>
      </rPr>
      <t xml:space="preserve"> found </t>
    </r>
    <r>
      <rPr>
        <sz val="6"/>
        <color rgb="FF0000FF"/>
        <rFont val="Consolas"/>
        <family val="3"/>
      </rPr>
      <t>then</t>
    </r>
  </si>
  <si>
    <r>
      <t xml:space="preserve">  </t>
    </r>
    <r>
      <rPr>
        <sz val="6"/>
        <color rgb="FF0000FF"/>
        <rFont val="Consolas"/>
        <family val="3"/>
      </rPr>
      <t>end</t>
    </r>
    <r>
      <rPr>
        <sz val="6"/>
        <color rgb="FF444444"/>
        <rFont val="Consolas"/>
        <family val="3"/>
      </rPr>
      <t xml:space="preserve"> if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</si>
  <si>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如果是卖出，先删除映射</t>
    </r>
  </si>
  <si>
    <r>
      <t xml:space="preserve">  if v_action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</t>
    </r>
    <r>
      <rPr>
        <sz val="6"/>
        <color rgb="FF24B47E"/>
        <rFont val="Consolas"/>
        <family val="3"/>
      </rPr>
      <t>'sell'</t>
    </r>
    <r>
      <rPr>
        <sz val="6"/>
        <color rgb="FF444444"/>
        <rFont val="Consolas"/>
        <family val="3"/>
      </rPr>
      <t xml:space="preserve"> </t>
    </r>
    <r>
      <rPr>
        <sz val="6"/>
        <color rgb="FF0000FF"/>
        <rFont val="Consolas"/>
        <family val="3"/>
      </rPr>
      <t>then</t>
    </r>
  </si>
  <si>
    <r>
      <t xml:space="preserve">    delete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trade_sell_mappings</t>
    </r>
  </si>
  <si>
    <r>
      <t xml:space="preserve">    </t>
    </r>
    <r>
      <rPr>
        <sz val="6"/>
        <color rgb="FF0000FF"/>
        <rFont val="Consolas"/>
        <family val="3"/>
      </rPr>
      <t>where</t>
    </r>
    <r>
      <rPr>
        <sz val="6"/>
        <color rgb="FF444444"/>
        <rFont val="Consolas"/>
        <family val="3"/>
      </rPr>
      <t xml:space="preserve"> sell_id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p_trade_id</t>
    </r>
    <r>
      <rPr>
        <sz val="6"/>
        <color rgb="FF000000"/>
        <rFont val="Consolas"/>
        <family val="3"/>
      </rPr>
      <t>;</t>
    </r>
  </si>
  <si>
    <r>
      <t xml:space="preserve">  </t>
    </r>
    <r>
      <rPr>
        <sz val="6"/>
        <color rgb="FF666666"/>
        <rFont val="Consolas"/>
        <family val="3"/>
      </rPr>
      <t>-- 删除 trade_records</t>
    </r>
  </si>
  <si>
    <r>
      <t xml:space="preserve">  delete </t>
    </r>
    <r>
      <rPr>
        <sz val="6"/>
        <color rgb="FF0000FF"/>
        <rFont val="Consolas"/>
        <family val="3"/>
      </rPr>
      <t>from</t>
    </r>
    <r>
      <rPr>
        <sz val="6"/>
        <color rgb="FF444444"/>
        <rFont val="Consolas"/>
        <family val="3"/>
      </rPr>
      <t xml:space="preserve"> trade_records</t>
    </r>
  </si>
  <si>
    <r>
      <t xml:space="preserve">    </t>
    </r>
    <r>
      <rPr>
        <sz val="6"/>
        <color rgb="FF778899"/>
        <rFont val="Consolas"/>
        <family val="3"/>
      </rPr>
      <t>and</t>
    </r>
    <r>
      <rPr>
        <sz val="6"/>
        <color rgb="FF444444"/>
        <rFont val="Consolas"/>
        <family val="3"/>
      </rPr>
      <t xml:space="preserve"> user_id </t>
    </r>
    <r>
      <rPr>
        <sz val="6"/>
        <color rgb="FF778899"/>
        <rFont val="Consolas"/>
        <family val="3"/>
      </rPr>
      <t>=</t>
    </r>
    <r>
      <rPr>
        <sz val="6"/>
        <color rgb="FF444444"/>
        <rFont val="Consolas"/>
        <family val="3"/>
      </rPr>
      <t xml:space="preserve"> p_user_id</t>
    </r>
    <r>
      <rPr>
        <sz val="6"/>
        <color rgb="FF000000"/>
        <rFont val="Consolas"/>
        <family val="3"/>
      </rPr>
      <t>;</t>
    </r>
  </si>
  <si>
    <r>
      <t xml:space="preserve">  RETURN QUERY </t>
    </r>
    <r>
      <rPr>
        <sz val="6"/>
        <color rgb="FF0000FF"/>
        <rFont val="Consolas"/>
        <family val="3"/>
      </rPr>
      <t>SELECT</t>
    </r>
    <r>
      <rPr>
        <sz val="6"/>
        <color rgb="FF444444"/>
        <rFont val="Consolas"/>
        <family val="3"/>
      </rPr>
      <t xml:space="preserve"> v_updated_at</t>
    </r>
    <r>
      <rPr>
        <sz val="6"/>
        <color rgb="FF000000"/>
        <rFont val="Consolas"/>
        <family val="3"/>
      </rPr>
      <t>;</t>
    </r>
  </si>
  <si>
    <r>
      <t>end</t>
    </r>
    <r>
      <rPr>
        <sz val="6"/>
        <color rgb="FF000000"/>
        <rFont val="Consolas"/>
        <family val="3"/>
      </rPr>
      <t>;</t>
    </r>
  </si>
  <si>
    <r>
      <t>CREATE</t>
    </r>
    <r>
      <rPr>
        <sz val="6"/>
        <color rgb="FF444444"/>
        <rFont val="Consolas"/>
        <family val="3"/>
      </rPr>
      <t xml:space="preserve"> </t>
    </r>
    <r>
      <rPr>
        <sz val="6"/>
        <color rgb="FF778899"/>
        <rFont val="Consolas"/>
        <family val="3"/>
      </rPr>
      <t>OR</t>
    </r>
    <r>
      <rPr>
        <sz val="6"/>
        <color rgb="FF444444"/>
        <rFont val="Consolas"/>
        <family val="3"/>
      </rPr>
      <t xml:space="preserve"> REPLACE FUNCTION public</t>
    </r>
    <r>
      <rPr>
        <sz val="6"/>
        <color rgb="FF000000"/>
        <rFont val="Consolas"/>
        <family val="3"/>
      </rPr>
      <t>.</t>
    </r>
    <r>
      <rPr>
        <sz val="6"/>
        <color rgb="FF444444"/>
        <rFont val="Consolas"/>
        <family val="3"/>
      </rPr>
      <t>delete_trade_and_update_account</t>
    </r>
    <r>
      <rPr>
        <sz val="6"/>
        <color rgb="FF000000"/>
        <rFont val="Consolas"/>
        <family val="3"/>
      </rPr>
      <t>(</t>
    </r>
    <phoneticPr fontId="2"/>
  </si>
  <si>
    <t>account_balances</t>
    <phoneticPr fontId="2"/>
  </si>
  <si>
    <t>現金残高</t>
    <rPh sb="0" eb="2">
      <t>ゲンキン</t>
    </rPh>
    <rPh sb="2" eb="4">
      <t>ザンダカ</t>
    </rPh>
    <phoneticPr fontId="2"/>
  </si>
  <si>
    <t>amount</t>
    <phoneticPr fontId="2"/>
  </si>
  <si>
    <t>ユーザID</t>
    <phoneticPr fontId="2"/>
  </si>
  <si>
    <t>残高</t>
    <rPh sb="0" eb="2">
      <t>ザンダカ</t>
    </rPh>
    <phoneticPr fontId="2"/>
  </si>
  <si>
    <t>numeric(20, 4)</t>
    <phoneticPr fontId="2"/>
  </si>
  <si>
    <t>create table public.account_balances (</t>
  </si>
  <si>
    <t xml:space="preserve">  account_id bigint not null,</t>
  </si>
  <si>
    <t xml:space="preserve">  amount numeric(20, 4) null default 0,</t>
  </si>
  <si>
    <t xml:space="preserve">  constraint account_balances_pkey primary key (id),</t>
  </si>
  <si>
    <t xml:space="preserve">  constraint uq_account_currency unique (account_id, currency),</t>
  </si>
  <si>
    <t xml:space="preserve">  constraint account_balances_account_id_fkey foreign KEY (account_id) references accounts (id) on delete CASCADE,</t>
  </si>
  <si>
    <t xml:space="preserve">  constraint account_balances_user_id_fkey foreign KEY (user_id) references auth.users (id) on delete CASCADE</t>
  </si>
  <si>
    <t>create index IF not exists idx_balances_user_currency on public.account_balances using btree (user_id, currency) TABLESPACE pg_default;</t>
  </si>
  <si>
    <t xml:space="preserve">  amount numeric(20, 4) not null,</t>
  </si>
  <si>
    <t xml:space="preserve">  remark text null,</t>
  </si>
  <si>
    <t xml:space="preserve">  constraint cash_transactions_pkey primary key (id),</t>
  </si>
  <si>
    <t xml:space="preserve">  constraint cash_transactions_account_id_fkey foreign KEY (account_id) references accounts (id),</t>
  </si>
  <si>
    <t xml:space="preserve">  constraint cash_transactions_trade_id_fkey foreign KEY (trade_id) references trade_records (id) on delete set null,</t>
  </si>
  <si>
    <t xml:space="preserve">  constraint cash_transactions_user_id_fkey foreign KEY (user_id) references auth.users (id) on delete CASCADE,</t>
  </si>
  <si>
    <t xml:space="preserve">  constraint cash_transactions_type_check check (</t>
  </si>
  <si>
    <t xml:space="preserve">      type = any (</t>
  </si>
  <si>
    <t xml:space="preserve">          'deposit'::text,</t>
  </si>
  <si>
    <t xml:space="preserve">          'withdraw'::text,</t>
  </si>
  <si>
    <t xml:space="preserve">          'trade_buy'::text,</t>
  </si>
  <si>
    <t xml:space="preserve">          'trade_sell'::text,</t>
  </si>
  <si>
    <t xml:space="preserve">          'dividend'::text,</t>
  </si>
  <si>
    <t xml:space="preserve">          'tax'::text,</t>
  </si>
  <si>
    <t xml:space="preserve">          'fee'::text,</t>
  </si>
  <si>
    <t xml:space="preserve">          'interest'::text,</t>
  </si>
  <si>
    <t xml:space="preserve">          'fx_exchange'::text</t>
  </si>
  <si>
    <t>create index IF not exists idx_cash_transactions_date on public.cash_transactions using btree (transaction_date desc) TABLESPACE pg_default;</t>
  </si>
  <si>
    <t>create table public.cash_transactions (</t>
    <phoneticPr fontId="2"/>
  </si>
  <si>
    <t>cash_transactions</t>
    <phoneticPr fontId="2"/>
  </si>
  <si>
    <t>現金トランザクション</t>
    <rPh sb="0" eb="2">
      <t>ゲンキン</t>
    </rPh>
    <phoneticPr fontId="2"/>
  </si>
  <si>
    <t xml:space="preserve">  type text not null,</t>
    <phoneticPr fontId="2"/>
  </si>
  <si>
    <t>deposit',     -- 入金（外部转入）
'withdraw',    -- 出金（提现到银行卡）
'trade_buy',   -- 买入股票扣款
'trade_sell',  -- 卖出股票回款
'dividend',    -- 股息/分红入账
'tax',         -- 税费扣款
'fee',         -- 手续费/管理费
'interest',    -- 现金利息
'fx_exchange'  -- 货币兑换（如 JPY 换成 USD）</t>
    <phoneticPr fontId="2"/>
  </si>
  <si>
    <t xml:space="preserve">  trade_id bigint null,</t>
    <phoneticPr fontId="2"/>
  </si>
  <si>
    <t>trade_id</t>
    <phoneticPr fontId="2"/>
  </si>
  <si>
    <t>取引ID</t>
    <rPh sb="0" eb="2">
      <t>トリヒキ</t>
    </rPh>
    <phoneticPr fontId="2"/>
  </si>
  <si>
    <t xml:space="preserve">  transaction_date timestamp with time zone not null default now(),</t>
    <phoneticPr fontId="2"/>
  </si>
  <si>
    <t>transaction_date</t>
    <phoneticPr fontId="2"/>
  </si>
  <si>
    <t>取引日</t>
    <rPh sb="0" eb="2">
      <t>トリヒキ</t>
    </rPh>
    <rPh sb="2" eb="3">
      <t>ヒ</t>
    </rPh>
    <phoneticPr fontId="2"/>
  </si>
  <si>
    <t>金額</t>
    <rPh sb="0" eb="2">
      <t>キンガク</t>
    </rPh>
    <phoneticPr fontId="2"/>
  </si>
  <si>
    <t xml:space="preserve">  constraint custom_asset_categories_pkey primary key (id),</t>
  </si>
  <si>
    <t xml:space="preserve">  constraint custom_asset_categories_user_id_fkey foreign KEY (user_id) references auth.users (id) on delete CASCADE</t>
  </si>
  <si>
    <t>create table public.custom_asset_categories (</t>
    <phoneticPr fontId="2"/>
  </si>
  <si>
    <t>custom_asset_categories</t>
    <phoneticPr fontId="2"/>
  </si>
  <si>
    <t>カスタム資産カテゴリ</t>
    <rPh sb="4" eb="6">
      <t>シサン</t>
    </rPh>
    <phoneticPr fontId="2"/>
  </si>
  <si>
    <t xml:space="preserve">  name text not null,</t>
    <phoneticPr fontId="2"/>
  </si>
  <si>
    <t>名称</t>
    <rPh sb="0" eb="2">
      <t>メイショウ</t>
    </rPh>
    <phoneticPr fontId="2"/>
  </si>
  <si>
    <t xml:space="preserve">  icon text null,</t>
    <phoneticPr fontId="2"/>
  </si>
  <si>
    <t>icon</t>
    <phoneticPr fontId="2"/>
  </si>
  <si>
    <t>アイコン</t>
    <phoneticPr fontId="2"/>
  </si>
  <si>
    <t xml:space="preserve">  display_order smallint null default 0,</t>
    <phoneticPr fontId="2"/>
  </si>
  <si>
    <t xml:space="preserve">  constraint custom_assets_pkey primary key (id),</t>
  </si>
  <si>
    <t xml:space="preserve">  constraint custom_assets_category_id_fkey foreign KEY (category_id) references custom_asset_categories (id) on delete set null,</t>
  </si>
  <si>
    <t xml:space="preserve">  constraint custom_assets_user_id_fkey foreign KEY (user_id) references auth.users (id) on delete CASCADE</t>
  </si>
  <si>
    <t>create table public.custom_assets (</t>
    <phoneticPr fontId="2"/>
  </si>
  <si>
    <t>custom_assets</t>
    <phoneticPr fontId="2"/>
  </si>
  <si>
    <t>カスタム資産</t>
    <rPh sb="4" eb="6">
      <t>シサン</t>
    </rPh>
    <phoneticPr fontId="2"/>
  </si>
  <si>
    <t>category_id</t>
    <phoneticPr fontId="2"/>
  </si>
  <si>
    <t>資産カテゴリID</t>
    <rPh sb="0" eb="2">
      <t>シサン</t>
    </rPh>
    <phoneticPr fontId="2"/>
  </si>
  <si>
    <t xml:space="preserve">  category_id bigint null,</t>
    <phoneticPr fontId="2"/>
  </si>
  <si>
    <t xml:space="preserve">  currency text not null default 'JPY'::text,</t>
    <phoneticPr fontId="2"/>
  </si>
  <si>
    <t>JPY</t>
    <phoneticPr fontId="2"/>
  </si>
  <si>
    <t xml:space="preserve">  note text null,</t>
    <phoneticPr fontId="2"/>
  </si>
  <si>
    <t>note</t>
    <phoneticPr fontId="2"/>
  </si>
  <si>
    <t xml:space="preserve">  created_at timestamp with time zone null default now(),</t>
    <phoneticPr fontId="2"/>
  </si>
  <si>
    <t xml:space="preserve">  constraint custom_asset_history_pkey primary key (id),</t>
  </si>
  <si>
    <t xml:space="preserve">  constraint uq_asset_daily_record unique (asset_id, record_date),</t>
  </si>
  <si>
    <t xml:space="preserve">  constraint custom_asset_history_asset_id_fkey foreign KEY (asset_id) references custom_assets (id) on delete CASCADE</t>
  </si>
  <si>
    <t>create table public.custom_asset_history (</t>
    <phoneticPr fontId="2"/>
  </si>
  <si>
    <t>custom_asset_history</t>
    <phoneticPr fontId="2"/>
  </si>
  <si>
    <t>カスタム資産履歴</t>
    <rPh sb="4" eb="6">
      <t>シサン</t>
    </rPh>
    <rPh sb="6" eb="8">
      <t>リレキ</t>
    </rPh>
    <phoneticPr fontId="2"/>
  </si>
  <si>
    <t xml:space="preserve">  asset_id bigint not null,</t>
    <phoneticPr fontId="2"/>
  </si>
  <si>
    <t xml:space="preserve">  record_date date not null,</t>
    <phoneticPr fontId="2"/>
  </si>
  <si>
    <t>record_date</t>
    <phoneticPr fontId="2"/>
  </si>
  <si>
    <t>記録日</t>
    <rPh sb="0" eb="2">
      <t>キロク</t>
    </rPh>
    <rPh sb="2" eb="3">
      <t>ヒ</t>
    </rPh>
    <phoneticPr fontId="2"/>
  </si>
  <si>
    <t xml:space="preserve">  asset_value numeric(20, 4) not null,</t>
    <phoneticPr fontId="2"/>
  </si>
  <si>
    <t>asset_value</t>
    <phoneticPr fontId="2"/>
  </si>
  <si>
    <t>資産金額</t>
    <rPh sb="0" eb="2">
      <t>シサン</t>
    </rPh>
    <rPh sb="2" eb="4">
      <t>キンガク</t>
    </rPh>
    <phoneticPr fontId="2"/>
  </si>
  <si>
    <t xml:space="preserve">  cost_basis numeric(20, 4) null,</t>
    <phoneticPr fontId="2"/>
  </si>
  <si>
    <t>cost_basis</t>
    <phoneticPr fontId="2"/>
  </si>
  <si>
    <t>コスト</t>
    <phoneticPr fontId="2"/>
  </si>
  <si>
    <t xml:space="preserve">  remark text null,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</si>
</sst>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10"/>
      <name val="Meiryo UI"/>
      <family val="3"/>
      <charset val="128"/>
    </font>
    <font>
      <sz val="8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theme="1"/>
      <name val="Arial"/>
      <family val="2"/>
      <charset val="128"/>
      <scheme val="minor"/>
    </font>
    <font>
      <sz val="11"/>
      <color theme="1"/>
      <name val="微软雅黑"/>
      <family val="2"/>
      <charset val="134"/>
    </font>
    <font>
      <sz val="6"/>
      <name val="Arial"/>
      <family val="2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Arial"/>
      <family val="2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Arial"/>
      <family val="2"/>
    </font>
    <font>
      <sz val="11"/>
      <color rgb="FFFF0000"/>
      <name val="Noto Sans JP"/>
      <family val="2"/>
      <charset val="134"/>
    </font>
    <font>
      <sz val="11"/>
      <color rgb="FFFF0000"/>
      <name val="微软雅黑"/>
      <family val="2"/>
      <charset val="134"/>
    </font>
    <font>
      <sz val="10"/>
      <color rgb="FF000000"/>
      <name val="Meiryo UI"/>
      <family val="2"/>
    </font>
    <font>
      <sz val="10"/>
      <color rgb="FFFFFFFF"/>
      <name val="Meiryo UI"/>
      <family val="2"/>
    </font>
    <font>
      <u/>
      <sz val="10"/>
      <color theme="10"/>
      <name val="Meiryo UI"/>
      <family val="2"/>
    </font>
    <font>
      <sz val="10"/>
      <color theme="1"/>
      <name val="Meiryo UI"/>
      <family val="2"/>
    </font>
    <font>
      <b/>
      <sz val="10"/>
      <color rgb="FFFF0000"/>
      <name val="Meiryo UI"/>
      <family val="2"/>
    </font>
    <font>
      <sz val="6"/>
      <color rgb="FF444444"/>
      <name val="Consolas"/>
      <family val="3"/>
    </font>
    <font>
      <sz val="6"/>
      <color rgb="FF0000FF"/>
      <name val="Consolas"/>
      <family val="3"/>
    </font>
    <font>
      <sz val="6"/>
      <color rgb="FF778899"/>
      <name val="Consolas"/>
      <family val="3"/>
    </font>
    <font>
      <sz val="6"/>
      <color rgb="FF000000"/>
      <name val="Consolas"/>
      <family val="3"/>
    </font>
    <font>
      <sz val="6"/>
      <color rgb="FF098658"/>
      <name val="Consolas"/>
      <family val="3"/>
    </font>
    <font>
      <sz val="6"/>
      <color rgb="FF666666"/>
      <name val="Consolas"/>
      <family val="3"/>
    </font>
    <font>
      <sz val="6"/>
      <color rgb="FF24B47E"/>
      <name val="Consolas"/>
      <family val="3"/>
    </font>
    <font>
      <sz val="10"/>
      <color theme="1"/>
      <name val="Microsoft YaHei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9E6FC"/>
        <bgColor rgb="FFD9E6FC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F0F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13">
      <alignment vertical="center"/>
    </xf>
  </cellStyleXfs>
  <cellXfs count="90">
    <xf numFmtId="0" fontId="0" fillId="0" borderId="0" xfId="0"/>
    <xf numFmtId="0" fontId="3" fillId="0" borderId="10" xfId="0" applyFont="1" applyBorder="1"/>
    <xf numFmtId="0" fontId="3" fillId="0" borderId="11" xfId="0" applyFont="1" applyBorder="1"/>
    <xf numFmtId="0" fontId="3" fillId="0" borderId="0" xfId="0" applyFont="1"/>
    <xf numFmtId="0" fontId="3" fillId="0" borderId="14" xfId="0" applyFont="1" applyBorder="1"/>
    <xf numFmtId="0" fontId="4" fillId="0" borderId="0" xfId="0" applyFont="1"/>
    <xf numFmtId="0" fontId="3" fillId="0" borderId="4" xfId="0" applyFont="1" applyBorder="1"/>
    <xf numFmtId="0" fontId="6" fillId="0" borderId="12" xfId="0" applyFont="1" applyBorder="1"/>
    <xf numFmtId="0" fontId="6" fillId="0" borderId="2" xfId="0" applyFont="1" applyBorder="1"/>
    <xf numFmtId="0" fontId="5" fillId="5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right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3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9" fillId="5" borderId="5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/>
    <xf numFmtId="0" fontId="9" fillId="5" borderId="15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9" xfId="0" applyFont="1" applyBorder="1"/>
    <xf numFmtId="0" fontId="3" fillId="3" borderId="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1" fillId="0" borderId="13" xfId="3" applyFont="1">
      <alignment vertical="center"/>
    </xf>
    <xf numFmtId="0" fontId="10" fillId="0" borderId="13" xfId="3">
      <alignment vertical="center"/>
    </xf>
    <xf numFmtId="0" fontId="13" fillId="0" borderId="13" xfId="3" applyFont="1">
      <alignment vertical="center"/>
    </xf>
    <xf numFmtId="0" fontId="14" fillId="0" borderId="13" xfId="3" applyFont="1">
      <alignment vertical="center"/>
    </xf>
    <xf numFmtId="0" fontId="16" fillId="0" borderId="13" xfId="3" applyFont="1">
      <alignment vertical="center"/>
    </xf>
    <xf numFmtId="0" fontId="13" fillId="6" borderId="13" xfId="3" applyFont="1" applyFill="1">
      <alignment vertical="center"/>
    </xf>
    <xf numFmtId="0" fontId="10" fillId="6" borderId="13" xfId="3" applyFill="1">
      <alignment vertical="center"/>
    </xf>
    <xf numFmtId="0" fontId="16" fillId="6" borderId="13" xfId="3" applyFont="1" applyFill="1">
      <alignment vertical="center"/>
    </xf>
    <xf numFmtId="0" fontId="18" fillId="0" borderId="13" xfId="3" applyFo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2" xfId="0" applyFont="1" applyBorder="1"/>
    <xf numFmtId="0" fontId="6" fillId="0" borderId="2" xfId="0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6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3" fillId="0" borderId="1" xfId="0" applyFont="1" applyBorder="1"/>
    <xf numFmtId="0" fontId="9" fillId="5" borderId="11" xfId="0" applyFont="1" applyFill="1" applyBorder="1" applyAlignment="1">
      <alignment horizontal="center"/>
    </xf>
    <xf numFmtId="0" fontId="6" fillId="0" borderId="11" xfId="0" applyFont="1" applyBorder="1"/>
    <xf numFmtId="0" fontId="6" fillId="0" borderId="5" xfId="0" applyFont="1" applyBorder="1"/>
    <xf numFmtId="0" fontId="3" fillId="0" borderId="11" xfId="0" applyFont="1" applyBorder="1"/>
    <xf numFmtId="0" fontId="9" fillId="5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9" fillId="5" borderId="13" xfId="0" applyFont="1" applyFill="1" applyBorder="1" applyAlignment="1">
      <alignment horizontal="center" vertical="center"/>
    </xf>
    <xf numFmtId="0" fontId="6" fillId="0" borderId="14" xfId="0" applyFont="1" applyBorder="1"/>
    <xf numFmtId="0" fontId="3" fillId="0" borderId="0" xfId="0" applyFont="1" applyAlignment="1">
      <alignment vertical="center"/>
    </xf>
    <xf numFmtId="0" fontId="4" fillId="0" borderId="0" xfId="0" applyFont="1"/>
    <xf numFmtId="0" fontId="5" fillId="5" borderId="1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1" xfId="0" applyFont="1" applyBorder="1" applyAlignment="1">
      <alignment vertical="center"/>
    </xf>
    <xf numFmtId="0" fontId="5" fillId="5" borderId="1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5" borderId="11" xfId="0" applyFont="1" applyFill="1" applyBorder="1" applyAlignment="1">
      <alignment horizontal="center"/>
    </xf>
    <xf numFmtId="0" fontId="8" fillId="0" borderId="11" xfId="0" applyFont="1" applyBorder="1"/>
    <xf numFmtId="0" fontId="8" fillId="0" borderId="1" xfId="0" applyFont="1" applyBorder="1"/>
    <xf numFmtId="0" fontId="20" fillId="0" borderId="0" xfId="0" applyFont="1"/>
    <xf numFmtId="0" fontId="21" fillId="4" borderId="13" xfId="0" applyFont="1" applyFill="1" applyBorder="1"/>
    <xf numFmtId="0" fontId="22" fillId="0" borderId="0" xfId="2" applyFont="1"/>
    <xf numFmtId="0" fontId="23" fillId="0" borderId="0" xfId="0" applyFont="1"/>
    <xf numFmtId="0" fontId="24" fillId="0" borderId="0" xfId="0" applyFont="1"/>
    <xf numFmtId="0" fontId="3" fillId="6" borderId="3" xfId="0" applyFont="1" applyFill="1" applyBorder="1" applyAlignment="1">
      <alignment horizontal="right"/>
    </xf>
    <xf numFmtId="0" fontId="3" fillId="6" borderId="5" xfId="0" applyFont="1" applyFill="1" applyBorder="1"/>
    <xf numFmtId="0" fontId="3" fillId="6" borderId="3" xfId="0" applyFont="1" applyFill="1" applyBorder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29" fillId="0" borderId="0" xfId="0" applyFont="1" applyAlignment="1">
      <alignment vertical="center"/>
    </xf>
    <xf numFmtId="0" fontId="22" fillId="6" borderId="0" xfId="2" applyFont="1" applyFill="1"/>
    <xf numFmtId="0" fontId="23" fillId="6" borderId="0" xfId="0" applyFont="1" applyFill="1"/>
    <xf numFmtId="0" fontId="32" fillId="0" borderId="1" xfId="0" quotePrefix="1" applyFont="1" applyBorder="1" applyAlignment="1">
      <alignment wrapText="1"/>
    </xf>
  </cellXfs>
  <cellStyles count="4">
    <cellStyle name="Hyperlink" xfId="1" xr:uid="{00000000-000B-0000-0000-000008000000}"/>
    <cellStyle name="ハイパーリンク" xfId="2" builtinId="8"/>
    <cellStyle name="標準" xfId="0" builtinId="0"/>
    <cellStyle name="標準 2" xfId="3" xr:uid="{9AB7FF3A-DAF8-4590-B391-9627DE158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16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16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6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60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6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89"/>
  <sheetViews>
    <sheetView zoomScale="115" zoomScaleNormal="115" workbookViewId="0"/>
  </sheetViews>
  <sheetFormatPr defaultColWidth="12.53515625" defaultRowHeight="15" customHeight="1"/>
  <cols>
    <col min="1" max="1" width="3.69140625" style="5" customWidth="1"/>
    <col min="2" max="2" width="4.07421875" style="5" customWidth="1"/>
    <col min="3" max="4" width="3.69140625" style="5" customWidth="1"/>
    <col min="5" max="5" width="7.23046875" style="5" bestFit="1" customWidth="1"/>
    <col min="6" max="7" width="3.69140625" style="5" customWidth="1"/>
    <col min="8" max="8" width="7.23046875" style="5" bestFit="1" customWidth="1"/>
    <col min="9" max="10" width="3.69140625" style="5" customWidth="1"/>
    <col min="11" max="11" width="9.07421875" style="5" bestFit="1" customWidth="1"/>
    <col min="12" max="31" width="3.69140625" style="5" customWidth="1"/>
    <col min="32" max="16384" width="12.53515625" style="5"/>
  </cols>
  <sheetData>
    <row r="1" spans="1:31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2.75" customHeight="1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</row>
    <row r="3" spans="1:31" ht="12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</row>
    <row r="4" spans="1:31" ht="12.75" customHeight="1">
      <c r="A4" s="1"/>
      <c r="B4" s="36" t="s">
        <v>0</v>
      </c>
      <c r="C4" s="31"/>
      <c r="D4" s="31"/>
      <c r="E4" s="36" t="s">
        <v>1</v>
      </c>
      <c r="F4" s="31"/>
      <c r="G4" s="31"/>
      <c r="H4" s="37" t="s">
        <v>2</v>
      </c>
      <c r="I4" s="32"/>
      <c r="J4" s="33"/>
      <c r="K4" s="31" t="s">
        <v>3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4"/>
      <c r="AE4" s="4"/>
    </row>
    <row r="5" spans="1:31" ht="12.75" customHeight="1">
      <c r="A5" s="1"/>
      <c r="B5" s="47">
        <v>1</v>
      </c>
      <c r="C5" s="48"/>
      <c r="D5" s="49"/>
      <c r="E5" s="50">
        <v>45931</v>
      </c>
      <c r="F5" s="48"/>
      <c r="G5" s="48"/>
      <c r="H5" s="47" t="s">
        <v>41</v>
      </c>
      <c r="I5" s="48"/>
      <c r="J5" s="49"/>
      <c r="K5" s="51" t="s">
        <v>4</v>
      </c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9"/>
      <c r="AE5" s="4"/>
    </row>
    <row r="6" spans="1:31" ht="12.75" customHeight="1">
      <c r="A6" s="1"/>
      <c r="B6" s="47"/>
      <c r="C6" s="48"/>
      <c r="D6" s="49"/>
      <c r="E6" s="50"/>
      <c r="F6" s="48"/>
      <c r="G6" s="48"/>
      <c r="H6" s="47"/>
      <c r="I6" s="48"/>
      <c r="J6" s="49"/>
      <c r="K6" s="51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9"/>
      <c r="AE6" s="4"/>
    </row>
    <row r="7" spans="1:31" ht="12.75" customHeight="1">
      <c r="A7" s="1"/>
      <c r="B7" s="47"/>
      <c r="C7" s="48"/>
      <c r="D7" s="49"/>
      <c r="E7" s="50"/>
      <c r="F7" s="48"/>
      <c r="G7" s="48"/>
      <c r="H7" s="47"/>
      <c r="I7" s="48"/>
      <c r="J7" s="49"/>
      <c r="K7" s="51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9"/>
      <c r="AE7" s="4"/>
    </row>
    <row r="8" spans="1:31" ht="12.75" customHeight="1">
      <c r="A8" s="1"/>
      <c r="B8" s="47"/>
      <c r="C8" s="48"/>
      <c r="D8" s="49"/>
      <c r="E8" s="50"/>
      <c r="F8" s="48"/>
      <c r="G8" s="48"/>
      <c r="H8" s="47"/>
      <c r="I8" s="48"/>
      <c r="J8" s="49"/>
      <c r="K8" s="51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9"/>
      <c r="AE8" s="4"/>
    </row>
    <row r="9" spans="1:31" ht="12.75" customHeight="1">
      <c r="A9" s="1"/>
      <c r="B9" s="47"/>
      <c r="C9" s="48"/>
      <c r="D9" s="49"/>
      <c r="E9" s="50"/>
      <c r="F9" s="48"/>
      <c r="G9" s="48"/>
      <c r="H9" s="47"/>
      <c r="I9" s="48"/>
      <c r="J9" s="49"/>
      <c r="K9" s="51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9"/>
      <c r="AE9" s="4"/>
    </row>
    <row r="10" spans="1:31" ht="12.75" customHeight="1">
      <c r="A10" s="1"/>
      <c r="B10" s="47"/>
      <c r="C10" s="48"/>
      <c r="D10" s="49"/>
      <c r="E10" s="50"/>
      <c r="F10" s="48"/>
      <c r="G10" s="48"/>
      <c r="H10" s="47"/>
      <c r="I10" s="48"/>
      <c r="J10" s="49"/>
      <c r="K10" s="51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9"/>
      <c r="AE10" s="4"/>
    </row>
    <row r="11" spans="1:31" ht="12.75" customHeight="1">
      <c r="A11" s="1"/>
      <c r="B11" s="47"/>
      <c r="C11" s="48"/>
      <c r="D11" s="49"/>
      <c r="E11" s="50"/>
      <c r="F11" s="48"/>
      <c r="G11" s="48"/>
      <c r="H11" s="47"/>
      <c r="I11" s="48"/>
      <c r="J11" s="49"/>
      <c r="K11" s="51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9"/>
      <c r="AE11" s="4"/>
    </row>
    <row r="12" spans="1:31" ht="12.75" customHeight="1">
      <c r="A12" s="1"/>
      <c r="B12" s="47"/>
      <c r="C12" s="48"/>
      <c r="D12" s="49"/>
      <c r="E12" s="50"/>
      <c r="F12" s="48"/>
      <c r="G12" s="48"/>
      <c r="H12" s="47"/>
      <c r="I12" s="48"/>
      <c r="J12" s="49"/>
      <c r="K12" s="51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/>
      <c r="AE12" s="4"/>
    </row>
    <row r="13" spans="1:31" ht="12.75" customHeight="1">
      <c r="A13" s="1"/>
      <c r="B13" s="47"/>
      <c r="C13" s="48"/>
      <c r="D13" s="49"/>
      <c r="E13" s="50"/>
      <c r="F13" s="48"/>
      <c r="G13" s="48"/>
      <c r="H13" s="47"/>
      <c r="I13" s="48"/>
      <c r="J13" s="49"/>
      <c r="K13" s="51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9"/>
      <c r="AE13" s="4"/>
    </row>
    <row r="14" spans="1:31" ht="12.75" customHeight="1">
      <c r="A14" s="1"/>
      <c r="B14" s="47"/>
      <c r="C14" s="48"/>
      <c r="D14" s="49"/>
      <c r="E14" s="50"/>
      <c r="F14" s="48"/>
      <c r="G14" s="48"/>
      <c r="H14" s="47"/>
      <c r="I14" s="48"/>
      <c r="J14" s="49"/>
      <c r="K14" s="51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9"/>
      <c r="AE14" s="4"/>
    </row>
    <row r="15" spans="1:31" ht="12.75" customHeight="1">
      <c r="A15" s="1"/>
      <c r="B15" s="47"/>
      <c r="C15" s="48"/>
      <c r="D15" s="49"/>
      <c r="E15" s="50"/>
      <c r="F15" s="48"/>
      <c r="G15" s="48"/>
      <c r="H15" s="47"/>
      <c r="I15" s="48"/>
      <c r="J15" s="49"/>
      <c r="K15" s="51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9"/>
      <c r="AE15" s="4"/>
    </row>
    <row r="16" spans="1:31" ht="12.75" customHeight="1">
      <c r="A16" s="1"/>
      <c r="B16" s="47"/>
      <c r="C16" s="48"/>
      <c r="D16" s="49"/>
      <c r="E16" s="50"/>
      <c r="F16" s="48"/>
      <c r="G16" s="48"/>
      <c r="H16" s="47"/>
      <c r="I16" s="48"/>
      <c r="J16" s="49"/>
      <c r="K16" s="51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9"/>
      <c r="AE16" s="4"/>
    </row>
    <row r="17" spans="1:31" ht="12.75" customHeight="1">
      <c r="A17" s="1"/>
      <c r="B17" s="47"/>
      <c r="C17" s="48"/>
      <c r="D17" s="49"/>
      <c r="E17" s="50"/>
      <c r="F17" s="48"/>
      <c r="G17" s="48"/>
      <c r="H17" s="47"/>
      <c r="I17" s="48"/>
      <c r="J17" s="49"/>
      <c r="K17" s="51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9"/>
      <c r="AE17" s="4"/>
    </row>
    <row r="18" spans="1:31" ht="12.75" customHeight="1">
      <c r="A18" s="1"/>
      <c r="B18" s="47"/>
      <c r="C18" s="48"/>
      <c r="D18" s="49"/>
      <c r="E18" s="50"/>
      <c r="F18" s="48"/>
      <c r="G18" s="48"/>
      <c r="H18" s="47"/>
      <c r="I18" s="48"/>
      <c r="J18" s="49"/>
      <c r="K18" s="51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9"/>
      <c r="AE18" s="4"/>
    </row>
    <row r="19" spans="1:31" ht="12.75" customHeight="1">
      <c r="A19" s="1"/>
      <c r="B19" s="47"/>
      <c r="C19" s="48"/>
      <c r="D19" s="49"/>
      <c r="E19" s="50"/>
      <c r="F19" s="48"/>
      <c r="G19" s="48"/>
      <c r="H19" s="47"/>
      <c r="I19" s="48"/>
      <c r="J19" s="49"/>
      <c r="K19" s="51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9"/>
      <c r="AE19" s="4"/>
    </row>
    <row r="20" spans="1:31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</row>
    <row r="21" spans="1:31" ht="12.75" customHeight="1">
      <c r="A21" s="3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0"/>
    </row>
    <row r="22" spans="1:31" ht="12.75" customHeight="1"/>
    <row r="23" spans="1:31" ht="12.75" customHeight="1"/>
    <row r="24" spans="1:31" ht="12.75" customHeight="1"/>
    <row r="25" spans="1:31" ht="12.75" customHeight="1"/>
    <row r="26" spans="1:31" ht="12.75" customHeight="1"/>
    <row r="27" spans="1:31" ht="12.75" customHeight="1"/>
    <row r="28" spans="1:31" ht="12.75" customHeight="1"/>
    <row r="29" spans="1:31" ht="12.75" customHeight="1"/>
    <row r="30" spans="1:31" ht="12.75" customHeight="1"/>
    <row r="31" spans="1:31" ht="12.75" customHeight="1"/>
    <row r="32" spans="1:3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61">
    <mergeCell ref="B19:D19"/>
    <mergeCell ref="E19:G19"/>
    <mergeCell ref="H19:J19"/>
    <mergeCell ref="K19:AD19"/>
    <mergeCell ref="A2:AE2"/>
    <mergeCell ref="B5:D5"/>
    <mergeCell ref="E5:G5"/>
    <mergeCell ref="H5:J5"/>
    <mergeCell ref="K5:AD5"/>
    <mergeCell ref="B17:D17"/>
    <mergeCell ref="E17:G17"/>
    <mergeCell ref="H17:J17"/>
    <mergeCell ref="K17:AD17"/>
    <mergeCell ref="B18:D18"/>
    <mergeCell ref="E18:G18"/>
    <mergeCell ref="H18:J18"/>
    <mergeCell ref="K18:AD18"/>
    <mergeCell ref="B15:D15"/>
    <mergeCell ref="E15:G15"/>
    <mergeCell ref="H15:J15"/>
    <mergeCell ref="B16:D16"/>
    <mergeCell ref="E16:G16"/>
    <mergeCell ref="H16:J16"/>
    <mergeCell ref="B13:D13"/>
    <mergeCell ref="E13:G13"/>
    <mergeCell ref="H13:J13"/>
    <mergeCell ref="E14:G14"/>
    <mergeCell ref="H14:J14"/>
    <mergeCell ref="B14:D14"/>
    <mergeCell ref="B11:D11"/>
    <mergeCell ref="E11:G11"/>
    <mergeCell ref="H11:J11"/>
    <mergeCell ref="K11:AD11"/>
    <mergeCell ref="B12:D12"/>
    <mergeCell ref="E12:G12"/>
    <mergeCell ref="H12:J12"/>
    <mergeCell ref="K14:AD14"/>
    <mergeCell ref="K15:AD15"/>
    <mergeCell ref="K16:AD16"/>
    <mergeCell ref="K9:AD9"/>
    <mergeCell ref="K10:AD10"/>
    <mergeCell ref="B8:D8"/>
    <mergeCell ref="B9:D9"/>
    <mergeCell ref="E9:G9"/>
    <mergeCell ref="H9:J9"/>
    <mergeCell ref="B10:D10"/>
    <mergeCell ref="E10:G10"/>
    <mergeCell ref="H10:J10"/>
    <mergeCell ref="E8:G8"/>
    <mergeCell ref="H8:J8"/>
    <mergeCell ref="K8:AD8"/>
    <mergeCell ref="K12:AD12"/>
    <mergeCell ref="K13:AD13"/>
    <mergeCell ref="H6:J6"/>
    <mergeCell ref="K6:AD6"/>
    <mergeCell ref="K7:AD7"/>
    <mergeCell ref="B6:D6"/>
    <mergeCell ref="E6:G6"/>
    <mergeCell ref="B7:D7"/>
    <mergeCell ref="E7:G7"/>
    <mergeCell ref="H7:J7"/>
  </mergeCells>
  <phoneticPr fontId="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8237-C225-4FBB-9AED-AD2A457C3CBC}">
  <dimension ref="A1:J43"/>
  <sheetViews>
    <sheetView workbookViewId="0">
      <selection activeCell="A27" sqref="A27"/>
    </sheetView>
  </sheetViews>
  <sheetFormatPr defaultRowHeight="14.15"/>
  <cols>
    <col min="1" max="1" width="18.3828125" style="39" customWidth="1"/>
    <col min="2" max="2" width="18.69140625" style="39" customWidth="1"/>
    <col min="3" max="3" width="18.53515625" style="39" bestFit="1" customWidth="1"/>
    <col min="4" max="4" width="9.23046875" style="39"/>
    <col min="5" max="5" width="9.921875" style="39" bestFit="1" customWidth="1"/>
    <col min="6" max="6" width="19.765625" style="39" bestFit="1" customWidth="1"/>
    <col min="7" max="7" width="9.23046875" style="39"/>
    <col min="8" max="8" width="11.23046875" style="39" bestFit="1" customWidth="1"/>
    <col min="9" max="9" width="18.69140625" style="39" bestFit="1" customWidth="1"/>
    <col min="10" max="16384" width="9.23046875" style="39"/>
  </cols>
  <sheetData>
    <row r="1" spans="1:10" ht="18">
      <c r="A1" s="38" t="s">
        <v>198</v>
      </c>
      <c r="E1" s="43" t="s">
        <v>199</v>
      </c>
      <c r="F1" s="44"/>
      <c r="H1" s="40" t="s">
        <v>200</v>
      </c>
    </row>
    <row r="2" spans="1:10" ht="18">
      <c r="A2" s="39" t="s">
        <v>201</v>
      </c>
      <c r="B2" s="39" t="s">
        <v>202</v>
      </c>
      <c r="C2" s="41" t="s">
        <v>203</v>
      </c>
      <c r="E2" s="43" t="s">
        <v>204</v>
      </c>
      <c r="F2" s="44" t="s">
        <v>205</v>
      </c>
      <c r="H2" s="40" t="s">
        <v>204</v>
      </c>
      <c r="I2" s="39" t="s">
        <v>205</v>
      </c>
    </row>
    <row r="3" spans="1:10" ht="18.45">
      <c r="A3" s="39" t="s">
        <v>206</v>
      </c>
      <c r="B3" s="40" t="s">
        <v>207</v>
      </c>
      <c r="C3" s="40" t="s">
        <v>208</v>
      </c>
      <c r="E3" s="45" t="s">
        <v>219</v>
      </c>
      <c r="F3" s="43" t="s">
        <v>218</v>
      </c>
      <c r="H3" s="39" t="s">
        <v>222</v>
      </c>
      <c r="I3" s="42" t="s">
        <v>219</v>
      </c>
      <c r="J3" s="39" t="s">
        <v>230</v>
      </c>
    </row>
    <row r="4" spans="1:10" ht="18.45">
      <c r="A4" s="40" t="s">
        <v>209</v>
      </c>
      <c r="B4" s="40" t="s">
        <v>210</v>
      </c>
      <c r="C4" s="40" t="s">
        <v>211</v>
      </c>
      <c r="E4" s="45" t="s">
        <v>224</v>
      </c>
      <c r="F4" s="43" t="s">
        <v>218</v>
      </c>
      <c r="H4" s="39" t="s">
        <v>223</v>
      </c>
      <c r="I4" s="42" t="s">
        <v>226</v>
      </c>
      <c r="J4" s="39" t="s">
        <v>230</v>
      </c>
    </row>
    <row r="5" spans="1:10" ht="18.45">
      <c r="A5" s="40" t="s">
        <v>212</v>
      </c>
      <c r="B5" s="40" t="s">
        <v>212</v>
      </c>
      <c r="C5" s="40" t="s">
        <v>213</v>
      </c>
      <c r="E5" s="45" t="s">
        <v>225</v>
      </c>
      <c r="F5" s="43" t="s">
        <v>218</v>
      </c>
      <c r="H5" s="39" t="s">
        <v>227</v>
      </c>
      <c r="I5" s="42" t="s">
        <v>225</v>
      </c>
      <c r="J5" s="39" t="s">
        <v>230</v>
      </c>
    </row>
    <row r="6" spans="1:10" ht="18.45">
      <c r="A6" s="46" t="s">
        <v>259</v>
      </c>
      <c r="B6" s="46" t="s">
        <v>260</v>
      </c>
      <c r="C6" s="46" t="s">
        <v>261</v>
      </c>
      <c r="E6" s="45" t="s">
        <v>262</v>
      </c>
      <c r="F6" s="43" t="s">
        <v>218</v>
      </c>
      <c r="H6" s="39" t="s">
        <v>263</v>
      </c>
      <c r="I6" s="42" t="s">
        <v>264</v>
      </c>
      <c r="J6" s="39" t="s">
        <v>230</v>
      </c>
    </row>
    <row r="7" spans="1:10" ht="18.45">
      <c r="A7" s="40" t="s">
        <v>214</v>
      </c>
      <c r="B7" s="40" t="s">
        <v>214</v>
      </c>
      <c r="C7" s="40" t="s">
        <v>214</v>
      </c>
      <c r="E7" s="45" t="s">
        <v>220</v>
      </c>
      <c r="F7" s="43" t="s">
        <v>218</v>
      </c>
      <c r="H7" s="42" t="s">
        <v>220</v>
      </c>
      <c r="I7" s="42" t="s">
        <v>220</v>
      </c>
      <c r="J7" s="39" t="s">
        <v>230</v>
      </c>
    </row>
    <row r="8" spans="1:10" ht="18">
      <c r="A8" s="40" t="s">
        <v>215</v>
      </c>
      <c r="B8" s="40" t="s">
        <v>216</v>
      </c>
      <c r="C8" s="40" t="s">
        <v>217</v>
      </c>
      <c r="E8" s="44" t="s">
        <v>221</v>
      </c>
      <c r="F8" s="43" t="s">
        <v>218</v>
      </c>
      <c r="H8" s="39" t="s">
        <v>229</v>
      </c>
      <c r="I8" s="40" t="s">
        <v>228</v>
      </c>
      <c r="J8" s="39" t="s">
        <v>230</v>
      </c>
    </row>
    <row r="11" spans="1:10">
      <c r="H11" s="39" t="s">
        <v>231</v>
      </c>
    </row>
    <row r="12" spans="1:10" ht="18">
      <c r="A12" s="40" t="s">
        <v>249</v>
      </c>
      <c r="H12" s="39" t="s">
        <v>242</v>
      </c>
    </row>
    <row r="13" spans="1:10" ht="18">
      <c r="A13" s="39" t="s">
        <v>254</v>
      </c>
      <c r="H13" s="39" t="s">
        <v>243</v>
      </c>
    </row>
    <row r="14" spans="1:10" ht="18">
      <c r="A14" s="40" t="s">
        <v>250</v>
      </c>
    </row>
    <row r="15" spans="1:10" ht="18">
      <c r="A15" s="39" t="s">
        <v>251</v>
      </c>
      <c r="H15" s="39" t="s">
        <v>231</v>
      </c>
    </row>
    <row r="16" spans="1:10" ht="18">
      <c r="A16" s="39" t="s">
        <v>252</v>
      </c>
      <c r="H16" s="39" t="s">
        <v>232</v>
      </c>
    </row>
    <row r="17" spans="1:8" ht="18">
      <c r="A17" s="39" t="s">
        <v>253</v>
      </c>
      <c r="H17" s="39" t="s">
        <v>233</v>
      </c>
    </row>
    <row r="18" spans="1:8" ht="18">
      <c r="A18" s="39" t="s">
        <v>265</v>
      </c>
      <c r="H18" s="39" t="s">
        <v>234</v>
      </c>
    </row>
    <row r="19" spans="1:8" ht="18">
      <c r="A19" s="39" t="s">
        <v>266</v>
      </c>
      <c r="H19" s="39" t="s">
        <v>236</v>
      </c>
    </row>
    <row r="20" spans="1:8" ht="16.3">
      <c r="A20" s="39" t="s">
        <v>255</v>
      </c>
      <c r="H20" s="39" t="s">
        <v>235</v>
      </c>
    </row>
    <row r="21" spans="1:8" ht="18">
      <c r="A21" s="40" t="s">
        <v>250</v>
      </c>
    </row>
    <row r="22" spans="1:8" ht="18.45">
      <c r="A22" s="39" t="s">
        <v>256</v>
      </c>
      <c r="H22" s="39" t="s">
        <v>231</v>
      </c>
    </row>
    <row r="23" spans="1:8" ht="18.45">
      <c r="A23" s="39" t="s">
        <v>257</v>
      </c>
      <c r="H23" s="39" t="s">
        <v>232</v>
      </c>
    </row>
    <row r="24" spans="1:8" ht="18.45">
      <c r="A24" s="39" t="s">
        <v>258</v>
      </c>
      <c r="H24" s="39" t="s">
        <v>237</v>
      </c>
    </row>
    <row r="25" spans="1:8" ht="18.45">
      <c r="A25" s="39" t="s">
        <v>267</v>
      </c>
      <c r="H25" s="39" t="s">
        <v>238</v>
      </c>
    </row>
    <row r="26" spans="1:8" ht="18.45">
      <c r="A26" s="39" t="s">
        <v>268</v>
      </c>
      <c r="H26" s="39" t="s">
        <v>239</v>
      </c>
    </row>
    <row r="27" spans="1:8">
      <c r="H27" s="39" t="s">
        <v>235</v>
      </c>
    </row>
    <row r="29" spans="1:8">
      <c r="H29" s="39" t="s">
        <v>231</v>
      </c>
    </row>
    <row r="30" spans="1:8">
      <c r="H30" s="39" t="s">
        <v>232</v>
      </c>
    </row>
    <row r="31" spans="1:8">
      <c r="H31" s="39" t="s">
        <v>240</v>
      </c>
    </row>
    <row r="32" spans="1:8">
      <c r="H32" s="39" t="s">
        <v>238</v>
      </c>
    </row>
    <row r="33" spans="8:8">
      <c r="H33" s="39" t="s">
        <v>241</v>
      </c>
    </row>
    <row r="36" spans="8:8">
      <c r="H36" s="39" t="s">
        <v>244</v>
      </c>
    </row>
    <row r="37" spans="8:8">
      <c r="H37" s="39" t="s">
        <v>245</v>
      </c>
    </row>
    <row r="38" spans="8:8">
      <c r="H38" s="39" t="s">
        <v>246</v>
      </c>
    </row>
    <row r="41" spans="8:8">
      <c r="H41" s="39" t="s">
        <v>244</v>
      </c>
    </row>
    <row r="42" spans="8:8">
      <c r="H42" s="39" t="s">
        <v>247</v>
      </c>
    </row>
    <row r="43" spans="8:8">
      <c r="H43" s="39" t="s">
        <v>248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40BD-AE19-4001-9565-3BB774F4AF6C}">
  <dimension ref="A1"/>
  <sheetViews>
    <sheetView workbookViewId="0">
      <selection activeCell="B2" sqref="B2"/>
    </sheetView>
  </sheetViews>
  <sheetFormatPr defaultRowHeight="12.4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855"/>
  <sheetViews>
    <sheetView zoomScale="130" zoomScaleNormal="130" workbookViewId="0">
      <selection activeCell="C17" sqref="C17"/>
    </sheetView>
  </sheetViews>
  <sheetFormatPr defaultColWidth="12.53515625" defaultRowHeight="15" customHeight="1"/>
  <cols>
    <col min="1" max="1" width="1.4609375" style="74" customWidth="1"/>
    <col min="2" max="2" width="34.69140625" style="74" customWidth="1"/>
    <col min="3" max="3" width="20.69140625" style="74" customWidth="1"/>
    <col min="4" max="26" width="3.69140625" style="74" customWidth="1"/>
    <col min="27" max="16384" width="12.53515625" style="74"/>
  </cols>
  <sheetData>
    <row r="1" spans="2:3" ht="15.75" customHeight="1">
      <c r="B1" s="78" t="s">
        <v>5</v>
      </c>
    </row>
    <row r="2" spans="2:3" ht="15.75" customHeight="1">
      <c r="B2" s="75" t="s">
        <v>6</v>
      </c>
      <c r="C2" s="75" t="s">
        <v>7</v>
      </c>
    </row>
    <row r="3" spans="2:3" ht="15.75" customHeight="1">
      <c r="B3" s="76" t="s">
        <v>42</v>
      </c>
      <c r="C3" s="77" t="s">
        <v>147</v>
      </c>
    </row>
    <row r="4" spans="2:3" ht="15.75" customHeight="1">
      <c r="B4" s="76" t="s">
        <v>180</v>
      </c>
      <c r="C4" s="77" t="s">
        <v>195</v>
      </c>
    </row>
    <row r="5" spans="2:3" ht="15.75" customHeight="1">
      <c r="B5" s="76" t="s">
        <v>10</v>
      </c>
      <c r="C5" s="77" t="s">
        <v>149</v>
      </c>
    </row>
    <row r="6" spans="2:3" ht="15.75" customHeight="1">
      <c r="B6" s="76" t="s">
        <v>174</v>
      </c>
      <c r="C6" s="77" t="s">
        <v>176</v>
      </c>
    </row>
    <row r="7" spans="2:3" ht="15.75" customHeight="1">
      <c r="B7" s="76" t="s">
        <v>94</v>
      </c>
      <c r="C7" s="77" t="s">
        <v>150</v>
      </c>
    </row>
    <row r="8" spans="2:3" ht="15.75" customHeight="1">
      <c r="B8" s="76" t="s">
        <v>139</v>
      </c>
      <c r="C8" s="77" t="s">
        <v>151</v>
      </c>
    </row>
    <row r="9" spans="2:3" ht="15.75" customHeight="1">
      <c r="B9" s="87" t="s">
        <v>152</v>
      </c>
      <c r="C9" s="88" t="s">
        <v>154</v>
      </c>
    </row>
    <row r="10" spans="2:3" ht="15.75" customHeight="1">
      <c r="B10" s="87" t="s">
        <v>164</v>
      </c>
      <c r="C10" s="88" t="s">
        <v>166</v>
      </c>
    </row>
    <row r="11" spans="2:3" ht="15.75" customHeight="1">
      <c r="B11" s="74" t="s">
        <v>488</v>
      </c>
    </row>
    <row r="12" spans="2:3" ht="15.75" customHeight="1"/>
    <row r="13" spans="2:3" ht="15.75" customHeight="1"/>
    <row r="14" spans="2:3" ht="15.75" customHeight="1"/>
    <row r="15" spans="2:3" ht="15.75" customHeight="1"/>
    <row r="16" spans="2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</sheetData>
  <phoneticPr fontId="2"/>
  <hyperlinks>
    <hyperlink ref="B3" location="accounts!A1" display="accounts" xr:uid="{00000000-0004-0000-0100-000000000000}"/>
    <hyperlink ref="B5" location="stocks!A1" display="stocks" xr:uid="{2A772ACA-7CA9-4A9D-A818-33BC1F33199E}"/>
    <hyperlink ref="B7" location="trade_records!A1" display="trade_records" xr:uid="{2C710442-0A41-4DF8-892F-950004C23D3A}"/>
    <hyperlink ref="B8" location="trade_sell_mappings!A1" display="trade_sell_mappings" xr:uid="{51A57AC2-5F49-4B73-B234-5CD4DFE57AF0}"/>
    <hyperlink ref="B9" location="fx_pairs!A1" display="fx_pairs" xr:uid="{6B923EE2-0F77-4065-B960-5BBBCF07E281}"/>
    <hyperlink ref="B10" location="fx_rates!A1" display="fx_rates" xr:uid="{C8BABC8D-E1C4-4097-8DB6-80A475A38A68}"/>
    <hyperlink ref="B6" location="stock_prices!A1" display="stock_prices" xr:uid="{06A0DA31-D2C3-4FEA-98AF-F28B94DDC61A}"/>
    <hyperlink ref="B4" location="sector_industry_master!A1" display="sector_industry_master" xr:uid="{A901BAD0-0B82-4477-A582-D464FB369132}"/>
  </hyperlink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E011-2533-4ED2-84F3-1DB7079D4321}">
  <sheetPr>
    <outlinePr summaryBelow="0" summaryRight="0"/>
  </sheetPr>
  <dimension ref="A1:Q978"/>
  <sheetViews>
    <sheetView zoomScale="115" zoomScaleNormal="115" workbookViewId="0">
      <selection activeCell="B22" sqref="B22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4" width="13.843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15.53515625" style="5" bestFit="1" customWidth="1"/>
    <col min="12" max="12" width="1.3046875" style="5"/>
    <col min="13" max="13" width="10.84375" style="5" bestFit="1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44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43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55</v>
      </c>
      <c r="D9" s="14" t="s">
        <v>46</v>
      </c>
      <c r="E9" s="30" t="s">
        <v>52</v>
      </c>
      <c r="F9" s="25"/>
      <c r="G9" s="14" t="s">
        <v>51</v>
      </c>
      <c r="H9" s="30"/>
      <c r="I9" s="14"/>
      <c r="J9" s="25" t="s">
        <v>25</v>
      </c>
      <c r="K9" s="14" t="s">
        <v>60</v>
      </c>
      <c r="L9" s="59"/>
      <c r="M9" s="57"/>
      <c r="N9" s="57"/>
      <c r="O9" s="57"/>
      <c r="P9" s="58"/>
      <c r="Q9" s="4"/>
    </row>
    <row r="10" spans="1:17" ht="15.75" customHeight="1">
      <c r="B10" s="24">
        <f t="shared" ref="B10:B13" si="0">ROW()-7</f>
        <v>3</v>
      </c>
      <c r="C10" s="14" t="s">
        <v>56</v>
      </c>
      <c r="D10" s="14" t="s">
        <v>47</v>
      </c>
      <c r="E10" s="30"/>
      <c r="F10" s="14"/>
      <c r="G10" s="14" t="s">
        <v>53</v>
      </c>
      <c r="H10" s="30"/>
      <c r="I10" s="14"/>
      <c r="J10" s="25" t="s">
        <v>25</v>
      </c>
      <c r="K10" s="14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57</v>
      </c>
      <c r="D11" s="20" t="s">
        <v>48</v>
      </c>
      <c r="E11" s="29"/>
      <c r="F11" s="25"/>
      <c r="G11" s="20" t="s">
        <v>53</v>
      </c>
      <c r="H11" s="29"/>
      <c r="I11" s="25"/>
      <c r="J11" s="25"/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58</v>
      </c>
      <c r="D12" s="14" t="s">
        <v>49</v>
      </c>
      <c r="E12" s="30"/>
      <c r="F12" s="25"/>
      <c r="G12" s="14" t="s">
        <v>54</v>
      </c>
      <c r="H12" s="30"/>
      <c r="I12" s="26" t="s">
        <v>59</v>
      </c>
      <c r="J12" s="25"/>
      <c r="K12" s="14"/>
      <c r="L12" s="55"/>
      <c r="M12" s="48"/>
      <c r="N12" s="48"/>
      <c r="O12" s="48"/>
      <c r="P12" s="49"/>
      <c r="Q12" s="4"/>
    </row>
    <row r="13" spans="1:17" ht="15.75" customHeight="1">
      <c r="B13" s="24">
        <f t="shared" si="0"/>
        <v>6</v>
      </c>
      <c r="C13" s="20" t="s">
        <v>86</v>
      </c>
      <c r="D13" s="14" t="s">
        <v>76</v>
      </c>
      <c r="E13" s="30"/>
      <c r="F13" s="25"/>
      <c r="G13" s="14" t="s">
        <v>54</v>
      </c>
      <c r="H13" s="30"/>
      <c r="I13" s="26" t="s">
        <v>59</v>
      </c>
      <c r="J13" s="25"/>
      <c r="K13" s="14"/>
      <c r="L13" s="55"/>
      <c r="M13" s="48"/>
      <c r="N13" s="48"/>
      <c r="O13" s="48"/>
      <c r="P13" s="49"/>
      <c r="Q13" s="4"/>
    </row>
    <row r="14" spans="1:17" ht="15.75" customHeight="1">
      <c r="Q14" s="4"/>
    </row>
    <row r="15" spans="1:17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0"/>
    </row>
    <row r="16" spans="1:17" ht="15.75" customHeight="1"/>
    <row r="17" spans="2:2" ht="15.75" customHeight="1">
      <c r="B17" s="5" t="s">
        <v>271</v>
      </c>
    </row>
    <row r="18" spans="2:2" ht="15.75" customHeight="1">
      <c r="B18" s="5" t="s">
        <v>272</v>
      </c>
    </row>
    <row r="19" spans="2:2" ht="15.75" customHeight="1">
      <c r="B19" s="5" t="s">
        <v>273</v>
      </c>
    </row>
    <row r="20" spans="2:2" ht="15.75" customHeight="1">
      <c r="B20" s="5" t="s">
        <v>274</v>
      </c>
    </row>
    <row r="21" spans="2:2" ht="15.75" customHeight="1">
      <c r="B21" s="5" t="s">
        <v>275</v>
      </c>
    </row>
    <row r="22" spans="2:2" ht="15.75" customHeight="1">
      <c r="B22" s="5" t="s">
        <v>276</v>
      </c>
    </row>
    <row r="23" spans="2:2" ht="15.75" customHeight="1">
      <c r="B23" s="5" t="s">
        <v>277</v>
      </c>
    </row>
    <row r="24" spans="2:2" ht="15.75" customHeight="1">
      <c r="B24" s="5" t="s">
        <v>278</v>
      </c>
    </row>
    <row r="25" spans="2:2" ht="15.75" customHeight="1">
      <c r="B25" s="5" t="s">
        <v>279</v>
      </c>
    </row>
    <row r="26" spans="2:2" ht="15.75" customHeight="1">
      <c r="B26" s="5" t="s">
        <v>280</v>
      </c>
    </row>
    <row r="27" spans="2:2" ht="15.75" customHeight="1"/>
    <row r="28" spans="2:2" ht="15.75" customHeight="1">
      <c r="B28" s="5" t="s">
        <v>270</v>
      </c>
    </row>
    <row r="29" spans="2:2" ht="15.75" customHeight="1">
      <c r="B29" s="5" t="s">
        <v>269</v>
      </c>
    </row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3">
    <mergeCell ref="L13:P13"/>
    <mergeCell ref="B2:C2"/>
    <mergeCell ref="D2:G2"/>
    <mergeCell ref="B3:C3"/>
    <mergeCell ref="D3:G3"/>
    <mergeCell ref="B4:C5"/>
    <mergeCell ref="D4:G5"/>
    <mergeCell ref="L12:P12"/>
    <mergeCell ref="L7:P7"/>
    <mergeCell ref="L8:P8"/>
    <mergeCell ref="L9:P9"/>
    <mergeCell ref="L10:P10"/>
    <mergeCell ref="L11:P11"/>
  </mergeCells>
  <phoneticPr fontId="2"/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BDC4-32AF-40C9-9869-97AB338062ED}">
  <sheetPr>
    <outlinePr summaryBelow="0" summaryRight="0"/>
  </sheetPr>
  <dimension ref="A1:Q980"/>
  <sheetViews>
    <sheetView zoomScale="115" zoomScaleNormal="115" workbookViewId="0">
      <selection activeCell="G27" sqref="G27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182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181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64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189</v>
      </c>
      <c r="D9" s="14" t="s">
        <v>183</v>
      </c>
      <c r="E9" s="30"/>
      <c r="F9" s="25"/>
      <c r="G9" s="14" t="s">
        <v>64</v>
      </c>
      <c r="H9" s="25"/>
      <c r="I9" s="14"/>
      <c r="J9" s="25" t="s">
        <v>52</v>
      </c>
      <c r="K9" s="14"/>
      <c r="L9" s="59"/>
      <c r="M9" s="57"/>
      <c r="N9" s="57"/>
      <c r="O9" s="57"/>
      <c r="P9" s="58"/>
      <c r="Q9" s="4"/>
    </row>
    <row r="10" spans="1:17" ht="15.75" customHeight="1">
      <c r="B10" s="24">
        <f t="shared" ref="B10:B15" si="0">ROW()-7</f>
        <v>3</v>
      </c>
      <c r="C10" s="14" t="s">
        <v>190</v>
      </c>
      <c r="D10" s="14" t="s">
        <v>184</v>
      </c>
      <c r="E10" s="30"/>
      <c r="F10" s="14"/>
      <c r="G10" s="14" t="s">
        <v>64</v>
      </c>
      <c r="H10" s="25"/>
      <c r="I10" s="14"/>
      <c r="J10" s="25" t="s">
        <v>52</v>
      </c>
      <c r="K10" s="14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191</v>
      </c>
      <c r="D11" s="20" t="s">
        <v>185</v>
      </c>
      <c r="E11" s="29"/>
      <c r="F11" s="25"/>
      <c r="G11" s="20" t="s">
        <v>53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192</v>
      </c>
      <c r="D12" s="14" t="s">
        <v>186</v>
      </c>
      <c r="E12" s="30"/>
      <c r="F12" s="25"/>
      <c r="G12" s="14" t="s">
        <v>53</v>
      </c>
      <c r="H12" s="30"/>
      <c r="I12" s="26"/>
      <c r="J12" s="25" t="s">
        <v>52</v>
      </c>
      <c r="K12" s="14"/>
      <c r="L12" s="55"/>
      <c r="M12" s="48"/>
      <c r="N12" s="48"/>
      <c r="O12" s="48"/>
      <c r="P12" s="49"/>
      <c r="Q12" s="4"/>
    </row>
    <row r="13" spans="1:17" ht="15.75" customHeight="1">
      <c r="B13" s="24">
        <f t="shared" si="0"/>
        <v>6</v>
      </c>
      <c r="C13" s="20" t="s">
        <v>193</v>
      </c>
      <c r="D13" s="20" t="s">
        <v>187</v>
      </c>
      <c r="E13" s="29"/>
      <c r="F13" s="25"/>
      <c r="G13" s="20" t="s">
        <v>53</v>
      </c>
      <c r="H13" s="29"/>
      <c r="I13" s="25"/>
      <c r="J13" s="25" t="s">
        <v>52</v>
      </c>
      <c r="K13" s="20"/>
      <c r="L13" s="55"/>
      <c r="M13" s="48"/>
      <c r="N13" s="48"/>
      <c r="O13" s="48"/>
      <c r="P13" s="49"/>
      <c r="Q13" s="4"/>
    </row>
    <row r="14" spans="1:17" ht="15.75" customHeight="1">
      <c r="B14" s="24">
        <f t="shared" si="0"/>
        <v>7</v>
      </c>
      <c r="C14" s="20" t="s">
        <v>194</v>
      </c>
      <c r="D14" s="14" t="s">
        <v>188</v>
      </c>
      <c r="E14" s="30"/>
      <c r="F14" s="25"/>
      <c r="G14" s="14" t="s">
        <v>53</v>
      </c>
      <c r="H14" s="30"/>
      <c r="I14" s="26"/>
      <c r="J14" s="25" t="s">
        <v>52</v>
      </c>
      <c r="K14" s="14"/>
      <c r="L14" s="55"/>
      <c r="M14" s="48"/>
      <c r="N14" s="48"/>
      <c r="O14" s="48"/>
      <c r="P14" s="49"/>
      <c r="Q14" s="4"/>
    </row>
    <row r="15" spans="1:17" ht="15.75" customHeight="1">
      <c r="B15" s="24">
        <f t="shared" si="0"/>
        <v>8</v>
      </c>
      <c r="C15" s="20" t="s">
        <v>85</v>
      </c>
      <c r="D15" s="20" t="s">
        <v>49</v>
      </c>
      <c r="E15" s="25"/>
      <c r="F15" s="25"/>
      <c r="G15" s="20" t="s">
        <v>54</v>
      </c>
      <c r="H15" s="29"/>
      <c r="I15" s="25" t="s">
        <v>59</v>
      </c>
      <c r="J15" s="25" t="s">
        <v>52</v>
      </c>
      <c r="K15" s="20"/>
      <c r="L15" s="55"/>
      <c r="M15" s="48"/>
      <c r="N15" s="48"/>
      <c r="O15" s="48"/>
      <c r="P15" s="49"/>
      <c r="Q15" s="4"/>
    </row>
    <row r="16" spans="1:17" ht="15.75" customHeight="1">
      <c r="Q16" s="4"/>
    </row>
    <row r="17" spans="1: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0"/>
    </row>
    <row r="18" spans="1:17" ht="15.75" customHeight="1"/>
    <row r="19" spans="1:17" ht="15.75" customHeight="1">
      <c r="B19" s="5" t="s">
        <v>281</v>
      </c>
    </row>
    <row r="20" spans="1:17" ht="15.75" customHeight="1">
      <c r="B20" s="5" t="s">
        <v>282</v>
      </c>
    </row>
    <row r="21" spans="1:17" ht="15.75" customHeight="1">
      <c r="B21" s="5" t="s">
        <v>283</v>
      </c>
    </row>
    <row r="22" spans="1:17" ht="15.75" customHeight="1">
      <c r="B22" s="5" t="s">
        <v>284</v>
      </c>
    </row>
    <row r="23" spans="1:17" ht="15.75" customHeight="1">
      <c r="B23" s="5" t="s">
        <v>285</v>
      </c>
    </row>
    <row r="24" spans="1:17" ht="15.75" customHeight="1">
      <c r="B24" s="5" t="s">
        <v>286</v>
      </c>
    </row>
    <row r="25" spans="1:17" ht="15.75" customHeight="1">
      <c r="B25" s="5" t="s">
        <v>287</v>
      </c>
    </row>
    <row r="26" spans="1:17" ht="15.75" customHeight="1">
      <c r="B26" s="5" t="s">
        <v>288</v>
      </c>
    </row>
    <row r="27" spans="1:17" ht="15.75" customHeight="1">
      <c r="B27" s="5" t="s">
        <v>289</v>
      </c>
    </row>
    <row r="28" spans="1:17" ht="15.75" customHeight="1">
      <c r="B28" s="5" t="s">
        <v>290</v>
      </c>
    </row>
    <row r="29" spans="1:17" ht="15.75" customHeight="1">
      <c r="B29" s="5" t="s">
        <v>280</v>
      </c>
    </row>
    <row r="30" spans="1:17" ht="15.75" customHeight="1"/>
    <row r="31" spans="1:17" ht="15.75" customHeight="1">
      <c r="B31" s="5" t="s">
        <v>291</v>
      </c>
    </row>
    <row r="32" spans="1:17" ht="15.75" customHeight="1">
      <c r="B32" s="5" t="s">
        <v>292</v>
      </c>
    </row>
    <row r="33" spans="2:2" ht="15.75" customHeight="1">
      <c r="B33" s="5" t="s">
        <v>293</v>
      </c>
    </row>
    <row r="34" spans="2:2" ht="15.75" customHeight="1">
      <c r="B34" s="5" t="s">
        <v>294</v>
      </c>
    </row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5">
    <mergeCell ref="B2:C2"/>
    <mergeCell ref="D2:G2"/>
    <mergeCell ref="B3:C3"/>
    <mergeCell ref="D3:G3"/>
    <mergeCell ref="B4:C5"/>
    <mergeCell ref="D4:G5"/>
    <mergeCell ref="L13:P13"/>
    <mergeCell ref="L14:P14"/>
    <mergeCell ref="L15:P15"/>
    <mergeCell ref="L7:P7"/>
    <mergeCell ref="L8:P8"/>
    <mergeCell ref="L9:P9"/>
    <mergeCell ref="L10:P10"/>
    <mergeCell ref="L11:P11"/>
    <mergeCell ref="L12:P12"/>
  </mergeCells>
  <phoneticPr fontId="2"/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95E3-BCE3-4B0E-A4ED-DF2301D1D3E9}">
  <sheetPr>
    <outlinePr summaryBelow="0" summaryRight="0"/>
  </sheetPr>
  <dimension ref="A1:Q987"/>
  <sheetViews>
    <sheetView zoomScale="115" zoomScaleNormal="115" workbookViewId="0">
      <selection activeCell="F32" sqref="F32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148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67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61</v>
      </c>
      <c r="D9" s="14" t="s">
        <v>68</v>
      </c>
      <c r="E9" s="30"/>
      <c r="F9" s="25"/>
      <c r="G9" s="14" t="s">
        <v>53</v>
      </c>
      <c r="H9" s="25" t="s">
        <v>52</v>
      </c>
      <c r="I9" s="14"/>
      <c r="J9" s="25"/>
      <c r="K9" s="14"/>
      <c r="L9" s="59"/>
      <c r="M9" s="57"/>
      <c r="N9" s="57"/>
      <c r="O9" s="57"/>
      <c r="P9" s="58"/>
      <c r="Q9" s="4"/>
    </row>
    <row r="10" spans="1:17" ht="15.75" customHeight="1">
      <c r="B10" s="24">
        <f t="shared" ref="B10:B22" si="0">ROW()-7</f>
        <v>3</v>
      </c>
      <c r="C10" s="14" t="s">
        <v>77</v>
      </c>
      <c r="D10" s="14" t="s">
        <v>69</v>
      </c>
      <c r="E10" s="30"/>
      <c r="F10" s="14"/>
      <c r="G10" s="14" t="s">
        <v>53</v>
      </c>
      <c r="H10" s="25" t="s">
        <v>52</v>
      </c>
      <c r="I10" s="14"/>
      <c r="J10" s="25"/>
      <c r="K10" s="14"/>
      <c r="L10" s="55" t="s">
        <v>327</v>
      </c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79</v>
      </c>
      <c r="D11" s="20" t="s">
        <v>47</v>
      </c>
      <c r="E11" s="29"/>
      <c r="F11" s="25"/>
      <c r="G11" s="20" t="s">
        <v>53</v>
      </c>
      <c r="H11" s="29"/>
      <c r="I11" s="25"/>
      <c r="J11" s="25"/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78</v>
      </c>
      <c r="D12" s="14" t="s">
        <v>70</v>
      </c>
      <c r="E12" s="30"/>
      <c r="F12" s="25"/>
      <c r="G12" s="14" t="s">
        <v>53</v>
      </c>
      <c r="H12" s="30"/>
      <c r="I12" s="26"/>
      <c r="J12" s="25"/>
      <c r="K12" s="14"/>
      <c r="L12" s="55"/>
      <c r="M12" s="48"/>
      <c r="N12" s="48"/>
      <c r="O12" s="48"/>
      <c r="P12" s="49"/>
      <c r="Q12" s="4"/>
    </row>
    <row r="13" spans="1:17" ht="15.75" customHeight="1">
      <c r="B13" s="24">
        <f t="shared" si="0"/>
        <v>6</v>
      </c>
      <c r="C13" s="20" t="s">
        <v>80</v>
      </c>
      <c r="D13" s="20" t="s">
        <v>71</v>
      </c>
      <c r="E13" s="29"/>
      <c r="F13" s="25"/>
      <c r="G13" s="20" t="s">
        <v>53</v>
      </c>
      <c r="H13" s="29"/>
      <c r="I13" s="25"/>
      <c r="J13" s="25"/>
      <c r="K13" s="20"/>
      <c r="L13" s="55" t="s">
        <v>328</v>
      </c>
      <c r="M13" s="48"/>
      <c r="N13" s="48"/>
      <c r="O13" s="48"/>
      <c r="P13" s="49"/>
      <c r="Q13" s="4"/>
    </row>
    <row r="14" spans="1:17" ht="15.75" customHeight="1">
      <c r="B14" s="24">
        <f t="shared" si="0"/>
        <v>7</v>
      </c>
      <c r="C14" s="20" t="s">
        <v>81</v>
      </c>
      <c r="D14" s="14" t="s">
        <v>72</v>
      </c>
      <c r="E14" s="30"/>
      <c r="F14" s="25"/>
      <c r="G14" s="14" t="s">
        <v>53</v>
      </c>
      <c r="H14" s="30"/>
      <c r="I14" s="26"/>
      <c r="J14" s="25"/>
      <c r="K14" s="14"/>
      <c r="L14" s="55" t="s">
        <v>327</v>
      </c>
      <c r="M14" s="48"/>
      <c r="N14" s="48"/>
      <c r="O14" s="48"/>
      <c r="P14" s="49"/>
      <c r="Q14" s="4"/>
    </row>
    <row r="15" spans="1:17" ht="15.75" customHeight="1">
      <c r="B15" s="24">
        <f t="shared" si="0"/>
        <v>8</v>
      </c>
      <c r="C15" s="20" t="s">
        <v>82</v>
      </c>
      <c r="D15" s="20" t="s">
        <v>73</v>
      </c>
      <c r="E15" s="25" t="s">
        <v>52</v>
      </c>
      <c r="F15" s="25"/>
      <c r="G15" s="20" t="s">
        <v>64</v>
      </c>
      <c r="H15" s="29"/>
      <c r="I15" s="25"/>
      <c r="J15" s="25"/>
      <c r="K15" s="20" t="s">
        <v>92</v>
      </c>
      <c r="L15" s="55"/>
      <c r="M15" s="48"/>
      <c r="N15" s="48"/>
      <c r="O15" s="48"/>
      <c r="P15" s="49"/>
      <c r="Q15" s="4"/>
    </row>
    <row r="16" spans="1:17" ht="15.75" customHeight="1">
      <c r="B16" s="24">
        <f t="shared" si="0"/>
        <v>9</v>
      </c>
      <c r="C16" s="20" t="s">
        <v>83</v>
      </c>
      <c r="D16" s="14" t="s">
        <v>74</v>
      </c>
      <c r="E16" s="30"/>
      <c r="F16" s="25"/>
      <c r="G16" s="14" t="s">
        <v>53</v>
      </c>
      <c r="H16" s="30"/>
      <c r="I16" s="26"/>
      <c r="J16" s="25"/>
      <c r="K16" s="14"/>
      <c r="L16" s="55"/>
      <c r="M16" s="48"/>
      <c r="N16" s="48"/>
      <c r="O16" s="48"/>
      <c r="P16" s="49"/>
      <c r="Q16" s="4"/>
    </row>
    <row r="17" spans="1:17" ht="15.75" customHeight="1">
      <c r="B17" s="24">
        <f t="shared" si="0"/>
        <v>10</v>
      </c>
      <c r="C17" s="20" t="s">
        <v>84</v>
      </c>
      <c r="D17" s="20" t="s">
        <v>75</v>
      </c>
      <c r="E17" s="29"/>
      <c r="F17" s="25"/>
      <c r="G17" s="20" t="s">
        <v>53</v>
      </c>
      <c r="H17" s="29"/>
      <c r="I17" s="25"/>
      <c r="J17" s="25"/>
      <c r="K17" s="20"/>
      <c r="L17" s="55" t="s">
        <v>93</v>
      </c>
      <c r="M17" s="48"/>
      <c r="N17" s="48"/>
      <c r="O17" s="48"/>
      <c r="P17" s="49"/>
      <c r="Q17" s="4"/>
    </row>
    <row r="18" spans="1:17" ht="15.75" customHeight="1">
      <c r="B18" s="24">
        <f t="shared" si="0"/>
        <v>11</v>
      </c>
      <c r="C18" s="20" t="s">
        <v>89</v>
      </c>
      <c r="D18" s="14" t="s">
        <v>87</v>
      </c>
      <c r="E18" s="30"/>
      <c r="F18" s="25"/>
      <c r="G18" s="14" t="s">
        <v>91</v>
      </c>
      <c r="H18" s="30"/>
      <c r="I18" s="26"/>
      <c r="J18" s="25"/>
      <c r="K18" s="14"/>
      <c r="L18" s="55"/>
      <c r="M18" s="48"/>
      <c r="N18" s="48"/>
      <c r="O18" s="48"/>
      <c r="P18" s="49"/>
      <c r="Q18" s="4"/>
    </row>
    <row r="19" spans="1:17" ht="15.75" customHeight="1">
      <c r="B19" s="24">
        <f t="shared" si="0"/>
        <v>12</v>
      </c>
      <c r="C19" s="20" t="s">
        <v>90</v>
      </c>
      <c r="D19" s="14" t="s">
        <v>88</v>
      </c>
      <c r="E19" s="30"/>
      <c r="F19" s="25"/>
      <c r="G19" s="14" t="s">
        <v>54</v>
      </c>
      <c r="H19" s="30"/>
      <c r="I19" s="26"/>
      <c r="J19" s="25"/>
      <c r="K19" s="14"/>
      <c r="L19" s="55"/>
      <c r="M19" s="48"/>
      <c r="N19" s="48"/>
      <c r="O19" s="48"/>
      <c r="P19" s="49"/>
      <c r="Q19" s="4"/>
    </row>
    <row r="20" spans="1:17" ht="15.75" customHeight="1">
      <c r="B20" s="24">
        <f t="shared" si="0"/>
        <v>13</v>
      </c>
      <c r="C20" s="20" t="s">
        <v>197</v>
      </c>
      <c r="D20" s="14" t="s">
        <v>196</v>
      </c>
      <c r="E20" s="30"/>
      <c r="F20" s="25"/>
      <c r="G20" s="20" t="s">
        <v>53</v>
      </c>
      <c r="H20" s="25" t="s">
        <v>52</v>
      </c>
      <c r="I20" s="26"/>
      <c r="J20" s="25"/>
      <c r="K20" s="14"/>
      <c r="L20" s="21"/>
      <c r="M20" s="7"/>
      <c r="N20" s="7"/>
      <c r="O20" s="7"/>
      <c r="P20" s="8"/>
      <c r="Q20" s="4"/>
    </row>
    <row r="21" spans="1:17" ht="15.75" customHeight="1">
      <c r="B21" s="24">
        <f t="shared" si="0"/>
        <v>14</v>
      </c>
      <c r="C21" s="20" t="s">
        <v>85</v>
      </c>
      <c r="D21" s="14" t="s">
        <v>49</v>
      </c>
      <c r="E21" s="30"/>
      <c r="F21" s="25"/>
      <c r="G21" s="14" t="s">
        <v>54</v>
      </c>
      <c r="H21" s="30"/>
      <c r="I21" s="26" t="s">
        <v>59</v>
      </c>
      <c r="J21" s="25"/>
      <c r="K21" s="14"/>
      <c r="L21" s="55"/>
      <c r="M21" s="48"/>
      <c r="N21" s="48"/>
      <c r="O21" s="48"/>
      <c r="P21" s="49"/>
      <c r="Q21" s="4"/>
    </row>
    <row r="22" spans="1:17" ht="15.75" customHeight="1">
      <c r="B22" s="24">
        <f t="shared" si="0"/>
        <v>15</v>
      </c>
      <c r="C22" s="20" t="s">
        <v>86</v>
      </c>
      <c r="D22" s="14" t="s">
        <v>76</v>
      </c>
      <c r="E22" s="30"/>
      <c r="F22" s="25"/>
      <c r="G22" s="14" t="s">
        <v>54</v>
      </c>
      <c r="H22" s="30"/>
      <c r="I22" s="26" t="s">
        <v>59</v>
      </c>
      <c r="J22" s="25"/>
      <c r="K22" s="14"/>
      <c r="L22" s="55"/>
      <c r="M22" s="48"/>
      <c r="N22" s="48"/>
      <c r="O22" s="48"/>
      <c r="P22" s="49"/>
      <c r="Q22" s="4"/>
    </row>
    <row r="23" spans="1:17" ht="15.75" customHeight="1">
      <c r="Q23" s="4"/>
    </row>
    <row r="24" spans="1:17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0"/>
    </row>
    <row r="25" spans="1:17" ht="15.75" customHeight="1"/>
    <row r="26" spans="1:17" ht="15.75" customHeight="1">
      <c r="B26" s="5" t="s">
        <v>295</v>
      </c>
    </row>
    <row r="27" spans="1:17" ht="15.75" customHeight="1">
      <c r="B27" s="5" t="s">
        <v>296</v>
      </c>
    </row>
    <row r="28" spans="1:17" ht="15.75" customHeight="1">
      <c r="B28" s="5" t="s">
        <v>297</v>
      </c>
    </row>
    <row r="29" spans="1:17" ht="15.75" customHeight="1">
      <c r="B29" s="5" t="s">
        <v>298</v>
      </c>
    </row>
    <row r="30" spans="1:17" ht="15.75" customHeight="1">
      <c r="B30" s="5" t="s">
        <v>274</v>
      </c>
    </row>
    <row r="31" spans="1:17" ht="15.75" customHeight="1">
      <c r="B31" s="5" t="s">
        <v>299</v>
      </c>
    </row>
    <row r="32" spans="1:17" ht="15.75" customHeight="1">
      <c r="B32" s="5" t="s">
        <v>300</v>
      </c>
    </row>
    <row r="33" spans="2:2" ht="15.75" customHeight="1">
      <c r="B33" s="5" t="s">
        <v>301</v>
      </c>
    </row>
    <row r="34" spans="2:2" ht="15.75" customHeight="1">
      <c r="B34" s="5" t="s">
        <v>276</v>
      </c>
    </row>
    <row r="35" spans="2:2" ht="15.75" customHeight="1">
      <c r="B35" s="5" t="s">
        <v>277</v>
      </c>
    </row>
    <row r="36" spans="2:2" ht="15.75" customHeight="1">
      <c r="B36" s="5" t="s">
        <v>302</v>
      </c>
    </row>
    <row r="37" spans="2:2" ht="15.75" customHeight="1">
      <c r="B37" s="5" t="s">
        <v>303</v>
      </c>
    </row>
    <row r="38" spans="2:2" ht="15.75" customHeight="1">
      <c r="B38" s="5" t="s">
        <v>304</v>
      </c>
    </row>
    <row r="39" spans="2:2" ht="15.75" customHeight="1">
      <c r="B39" s="5" t="s">
        <v>305</v>
      </c>
    </row>
    <row r="40" spans="2:2" ht="15.75" customHeight="1">
      <c r="B40" s="5" t="s">
        <v>306</v>
      </c>
    </row>
    <row r="41" spans="2:2" ht="15.75" customHeight="1">
      <c r="B41" s="5" t="s">
        <v>307</v>
      </c>
    </row>
    <row r="42" spans="2:2" ht="15.75" customHeight="1">
      <c r="B42" s="5" t="s">
        <v>308</v>
      </c>
    </row>
    <row r="43" spans="2:2" ht="15.75" customHeight="1">
      <c r="B43" s="5" t="s">
        <v>309</v>
      </c>
    </row>
    <row r="44" spans="2:2" ht="15.75" customHeight="1">
      <c r="B44" s="5" t="s">
        <v>310</v>
      </c>
    </row>
    <row r="45" spans="2:2" ht="15.75" customHeight="1">
      <c r="B45" s="5" t="s">
        <v>311</v>
      </c>
    </row>
    <row r="46" spans="2:2" ht="15.75" customHeight="1">
      <c r="B46" s="5" t="s">
        <v>312</v>
      </c>
    </row>
    <row r="47" spans="2:2" ht="15.75" customHeight="1">
      <c r="B47" s="5" t="s">
        <v>313</v>
      </c>
    </row>
    <row r="48" spans="2:2" ht="15.75" customHeight="1">
      <c r="B48" s="5" t="s">
        <v>314</v>
      </c>
    </row>
    <row r="49" spans="2:2" ht="15.75" customHeight="1">
      <c r="B49" s="5" t="s">
        <v>315</v>
      </c>
    </row>
    <row r="50" spans="2:2" ht="15.75" customHeight="1">
      <c r="B50" s="5" t="s">
        <v>316</v>
      </c>
    </row>
    <row r="51" spans="2:2" ht="15.75" customHeight="1">
      <c r="B51" s="5" t="s">
        <v>317</v>
      </c>
    </row>
    <row r="52" spans="2:2" ht="15.75" customHeight="1">
      <c r="B52" s="5" t="s">
        <v>318</v>
      </c>
    </row>
    <row r="53" spans="2:2" ht="15.75" customHeight="1">
      <c r="B53" s="5" t="s">
        <v>319</v>
      </c>
    </row>
    <row r="54" spans="2:2" ht="15.75" customHeight="1">
      <c r="B54" s="5" t="s">
        <v>320</v>
      </c>
    </row>
    <row r="55" spans="2:2" ht="15.75" customHeight="1">
      <c r="B55" s="5" t="s">
        <v>321</v>
      </c>
    </row>
    <row r="56" spans="2:2" ht="15.75" customHeight="1">
      <c r="B56" s="5" t="s">
        <v>322</v>
      </c>
    </row>
    <row r="57" spans="2:2" ht="15.75" customHeight="1">
      <c r="B57" s="5" t="s">
        <v>323</v>
      </c>
    </row>
    <row r="58" spans="2:2" ht="15.75" customHeight="1">
      <c r="B58" s="5" t="s">
        <v>324</v>
      </c>
    </row>
    <row r="59" spans="2:2" ht="15.75" customHeight="1">
      <c r="B59" s="5" t="s">
        <v>280</v>
      </c>
    </row>
    <row r="60" spans="2:2" ht="15.75" customHeight="1"/>
    <row r="61" spans="2:2" ht="15.75" customHeight="1">
      <c r="B61" s="5" t="s">
        <v>325</v>
      </c>
    </row>
    <row r="62" spans="2:2" ht="15.75" customHeight="1"/>
    <row r="63" spans="2:2" ht="15.75" customHeight="1">
      <c r="B63" s="5" t="s">
        <v>326</v>
      </c>
    </row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1">
    <mergeCell ref="L12:P12"/>
    <mergeCell ref="B2:C2"/>
    <mergeCell ref="D2:G2"/>
    <mergeCell ref="B3:C3"/>
    <mergeCell ref="D3:G3"/>
    <mergeCell ref="B4:C5"/>
    <mergeCell ref="D4:G5"/>
    <mergeCell ref="L7:P7"/>
    <mergeCell ref="L8:P8"/>
    <mergeCell ref="L9:P9"/>
    <mergeCell ref="L10:P10"/>
    <mergeCell ref="L11:P11"/>
    <mergeCell ref="L22:P22"/>
    <mergeCell ref="L19:P19"/>
    <mergeCell ref="L18:P18"/>
    <mergeCell ref="L13:P13"/>
    <mergeCell ref="L14:P14"/>
    <mergeCell ref="L15:P15"/>
    <mergeCell ref="L16:P16"/>
    <mergeCell ref="L17:P17"/>
    <mergeCell ref="L21:P21"/>
  </mergeCells>
  <phoneticPr fontId="2"/>
  <pageMargins left="0" right="0" top="0" bottom="0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EC4C-2817-4261-AF83-B89871DFBFBF}">
  <sheetPr>
    <outlinePr summaryBelow="0" summaryRight="0"/>
  </sheetPr>
  <dimension ref="A1:Q977"/>
  <sheetViews>
    <sheetView zoomScale="115" zoomScaleNormal="115" workbookViewId="0">
      <selection activeCell="G12" sqref="G12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176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175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66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/>
      <c r="D9" s="14" t="s">
        <v>177</v>
      </c>
      <c r="E9" s="25" t="s">
        <v>52</v>
      </c>
      <c r="F9" s="25"/>
      <c r="G9" s="14" t="s">
        <v>66</v>
      </c>
      <c r="H9" s="25" t="s">
        <v>52</v>
      </c>
      <c r="I9" s="14"/>
      <c r="J9" s="25" t="s">
        <v>52</v>
      </c>
      <c r="K9" s="14" t="s">
        <v>179</v>
      </c>
      <c r="L9" s="59"/>
      <c r="M9" s="57"/>
      <c r="N9" s="57"/>
      <c r="O9" s="57"/>
      <c r="P9" s="58"/>
      <c r="Q9" s="4"/>
    </row>
    <row r="10" spans="1:17" ht="15.75" customHeight="1">
      <c r="B10" s="24">
        <f t="shared" ref="B10:B12" si="0">ROW()-7</f>
        <v>3</v>
      </c>
      <c r="C10" s="14"/>
      <c r="D10" s="14" t="s">
        <v>105</v>
      </c>
      <c r="E10" s="30"/>
      <c r="F10" s="14"/>
      <c r="G10" s="14" t="s">
        <v>91</v>
      </c>
      <c r="H10" s="25"/>
      <c r="I10" s="14"/>
      <c r="J10" s="25" t="s">
        <v>52</v>
      </c>
      <c r="K10" s="14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/>
      <c r="D11" s="20" t="s">
        <v>178</v>
      </c>
      <c r="E11" s="29"/>
      <c r="F11" s="25"/>
      <c r="G11" s="20" t="s">
        <v>133</v>
      </c>
      <c r="H11" s="25" t="s">
        <v>52</v>
      </c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/>
      <c r="D12" s="14" t="s">
        <v>49</v>
      </c>
      <c r="E12" s="30"/>
      <c r="F12" s="25"/>
      <c r="G12" s="14" t="s">
        <v>54</v>
      </c>
      <c r="H12" s="30"/>
      <c r="I12" s="26" t="s">
        <v>59</v>
      </c>
      <c r="J12" s="25"/>
      <c r="K12" s="14"/>
      <c r="L12" s="55"/>
      <c r="M12" s="48"/>
      <c r="N12" s="48"/>
      <c r="O12" s="48"/>
      <c r="P12" s="49"/>
      <c r="Q12" s="4"/>
    </row>
    <row r="13" spans="1:17" ht="15.75" customHeight="1">
      <c r="Q13" s="4"/>
    </row>
    <row r="14" spans="1:17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0"/>
    </row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2">
    <mergeCell ref="L12:P12"/>
    <mergeCell ref="B2:C2"/>
    <mergeCell ref="D2:G2"/>
    <mergeCell ref="B3:C3"/>
    <mergeCell ref="D3:G3"/>
    <mergeCell ref="B4:C5"/>
    <mergeCell ref="D4:G5"/>
    <mergeCell ref="L7:P7"/>
    <mergeCell ref="L8:P8"/>
    <mergeCell ref="L9:P9"/>
    <mergeCell ref="L10:P10"/>
    <mergeCell ref="L11:P11"/>
  </mergeCells>
  <phoneticPr fontId="2"/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FFD1-8BD6-4837-AD8F-66680BFC1A89}">
  <sheetPr>
    <outlinePr summaryBelow="0" summaryRight="0"/>
  </sheetPr>
  <dimension ref="A1:Q992"/>
  <sheetViews>
    <sheetView zoomScale="115" zoomScaleNormal="115" workbookViewId="0">
      <selection activeCell="H32" sqref="H32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96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95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66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55</v>
      </c>
      <c r="D9" s="14" t="s">
        <v>46</v>
      </c>
      <c r="E9" s="25" t="s">
        <v>52</v>
      </c>
      <c r="F9" s="25"/>
      <c r="G9" s="14" t="s">
        <v>51</v>
      </c>
      <c r="H9" s="25"/>
      <c r="I9" s="14"/>
      <c r="J9" s="25" t="s">
        <v>52</v>
      </c>
      <c r="K9" s="14" t="s">
        <v>60</v>
      </c>
      <c r="L9" s="59"/>
      <c r="M9" s="57"/>
      <c r="N9" s="57"/>
      <c r="O9" s="57"/>
      <c r="P9" s="58"/>
      <c r="Q9" s="4"/>
    </row>
    <row r="10" spans="1:17" ht="15.75" customHeight="1">
      <c r="B10" s="24">
        <f t="shared" ref="B10:B27" si="0">ROW()-7</f>
        <v>3</v>
      </c>
      <c r="C10" s="14" t="s">
        <v>113</v>
      </c>
      <c r="D10" s="14" t="s">
        <v>97</v>
      </c>
      <c r="E10" s="25" t="s">
        <v>52</v>
      </c>
      <c r="F10" s="14"/>
      <c r="G10" s="14" t="s">
        <v>66</v>
      </c>
      <c r="H10" s="25"/>
      <c r="I10" s="14"/>
      <c r="J10" s="25"/>
      <c r="K10" s="14" t="s">
        <v>137</v>
      </c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114</v>
      </c>
      <c r="D11" s="20" t="s">
        <v>98</v>
      </c>
      <c r="E11" s="29"/>
      <c r="F11" s="25"/>
      <c r="G11" s="20" t="s">
        <v>53</v>
      </c>
      <c r="H11" s="29"/>
      <c r="I11" s="25"/>
      <c r="J11" s="25" t="s">
        <v>52</v>
      </c>
      <c r="K11" s="20"/>
      <c r="L11" s="55" t="s">
        <v>115</v>
      </c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116</v>
      </c>
      <c r="D12" s="14" t="s">
        <v>99</v>
      </c>
      <c r="E12" s="30"/>
      <c r="F12" s="25"/>
      <c r="G12" s="14" t="s">
        <v>66</v>
      </c>
      <c r="H12" s="30"/>
      <c r="I12" s="26"/>
      <c r="J12" s="25" t="s">
        <v>52</v>
      </c>
      <c r="K12" s="14"/>
      <c r="L12" s="55"/>
      <c r="M12" s="48"/>
      <c r="N12" s="48"/>
      <c r="O12" s="48"/>
      <c r="P12" s="49"/>
      <c r="Q12" s="4"/>
    </row>
    <row r="13" spans="1:17" ht="15.75" customHeight="1">
      <c r="B13" s="24">
        <f t="shared" si="0"/>
        <v>6</v>
      </c>
      <c r="C13" s="20" t="s">
        <v>117</v>
      </c>
      <c r="D13" s="20" t="s">
        <v>100</v>
      </c>
      <c r="E13" s="29"/>
      <c r="F13" s="25"/>
      <c r="G13" s="20" t="s">
        <v>133</v>
      </c>
      <c r="H13" s="29"/>
      <c r="I13" s="25"/>
      <c r="J13" s="25" t="s">
        <v>52</v>
      </c>
      <c r="K13" s="20"/>
      <c r="L13" s="55"/>
      <c r="M13" s="48"/>
      <c r="N13" s="48"/>
      <c r="O13" s="48"/>
      <c r="P13" s="49"/>
      <c r="Q13" s="4"/>
    </row>
    <row r="14" spans="1:17" ht="15.75" customHeight="1">
      <c r="B14" s="24">
        <f t="shared" si="0"/>
        <v>7</v>
      </c>
      <c r="C14" s="20" t="s">
        <v>118</v>
      </c>
      <c r="D14" s="14" t="s">
        <v>101</v>
      </c>
      <c r="E14" s="30"/>
      <c r="F14" s="25"/>
      <c r="G14" s="14" t="s">
        <v>53</v>
      </c>
      <c r="H14" s="30"/>
      <c r="I14" s="26"/>
      <c r="J14" s="25" t="s">
        <v>52</v>
      </c>
      <c r="K14" s="14"/>
      <c r="L14" s="55" t="s">
        <v>119</v>
      </c>
      <c r="M14" s="48"/>
      <c r="N14" s="48"/>
      <c r="O14" s="48"/>
      <c r="P14" s="49"/>
      <c r="Q14" s="4"/>
    </row>
    <row r="15" spans="1:17" ht="15.75" customHeight="1">
      <c r="B15" s="24">
        <f t="shared" si="0"/>
        <v>8</v>
      </c>
      <c r="C15" s="20" t="s">
        <v>120</v>
      </c>
      <c r="D15" s="20" t="s">
        <v>102</v>
      </c>
      <c r="E15" s="25"/>
      <c r="F15" s="25"/>
      <c r="G15" s="20" t="s">
        <v>53</v>
      </c>
      <c r="H15" s="29"/>
      <c r="I15" s="25"/>
      <c r="J15" s="25"/>
      <c r="K15" s="20"/>
      <c r="L15" s="55" t="s">
        <v>121</v>
      </c>
      <c r="M15" s="48"/>
      <c r="N15" s="48"/>
      <c r="O15" s="48"/>
      <c r="P15" s="49"/>
      <c r="Q15" s="4"/>
    </row>
    <row r="16" spans="1:17" ht="15.75" customHeight="1">
      <c r="B16" s="79">
        <f t="shared" si="0"/>
        <v>9</v>
      </c>
      <c r="C16" s="80" t="s">
        <v>122</v>
      </c>
      <c r="D16" s="81" t="s">
        <v>103</v>
      </c>
      <c r="E16" s="30"/>
      <c r="F16" s="25"/>
      <c r="G16" s="14" t="s">
        <v>53</v>
      </c>
      <c r="H16" s="30"/>
      <c r="I16" s="26"/>
      <c r="J16" s="25"/>
      <c r="K16" s="14"/>
      <c r="L16" s="55" t="s">
        <v>138</v>
      </c>
      <c r="M16" s="48"/>
      <c r="N16" s="48"/>
      <c r="O16" s="48"/>
      <c r="P16" s="49"/>
      <c r="Q16" s="4"/>
    </row>
    <row r="17" spans="1:17" ht="15.75" customHeight="1">
      <c r="B17" s="24">
        <f t="shared" si="0"/>
        <v>10</v>
      </c>
      <c r="C17" s="20" t="s">
        <v>123</v>
      </c>
      <c r="D17" s="20" t="s">
        <v>104</v>
      </c>
      <c r="E17" s="29"/>
      <c r="F17" s="25"/>
      <c r="G17" s="20" t="s">
        <v>134</v>
      </c>
      <c r="H17" s="29"/>
      <c r="I17" s="25"/>
      <c r="J17" s="25" t="s">
        <v>52</v>
      </c>
      <c r="K17" s="20"/>
      <c r="L17" s="55"/>
      <c r="M17" s="48"/>
      <c r="N17" s="48"/>
      <c r="O17" s="48"/>
      <c r="P17" s="49"/>
      <c r="Q17" s="4"/>
    </row>
    <row r="18" spans="1:17" ht="15.75" customHeight="1">
      <c r="B18" s="24">
        <f t="shared" si="0"/>
        <v>11</v>
      </c>
      <c r="C18" s="20" t="s">
        <v>124</v>
      </c>
      <c r="D18" s="14" t="s">
        <v>105</v>
      </c>
      <c r="E18" s="30"/>
      <c r="F18" s="25"/>
      <c r="G18" s="14" t="s">
        <v>134</v>
      </c>
      <c r="H18" s="30"/>
      <c r="I18" s="26"/>
      <c r="J18" s="25" t="s">
        <v>52</v>
      </c>
      <c r="K18" s="14"/>
      <c r="L18" s="55"/>
      <c r="M18" s="48"/>
      <c r="N18" s="48"/>
      <c r="O18" s="48"/>
      <c r="P18" s="49"/>
      <c r="Q18" s="4"/>
    </row>
    <row r="19" spans="1:17" ht="15.75" customHeight="1">
      <c r="B19" s="79">
        <f t="shared" si="0"/>
        <v>12</v>
      </c>
      <c r="C19" s="80" t="s">
        <v>125</v>
      </c>
      <c r="D19" s="81" t="s">
        <v>106</v>
      </c>
      <c r="E19" s="30"/>
      <c r="F19" s="25"/>
      <c r="G19" s="14" t="s">
        <v>135</v>
      </c>
      <c r="H19" s="30"/>
      <c r="I19" s="26"/>
      <c r="J19" s="25"/>
      <c r="K19" s="14"/>
      <c r="L19" s="55"/>
      <c r="M19" s="48"/>
      <c r="N19" s="48"/>
      <c r="O19" s="48"/>
      <c r="P19" s="49"/>
      <c r="Q19" s="4"/>
    </row>
    <row r="20" spans="1:17" ht="15.75" customHeight="1">
      <c r="B20" s="79">
        <f t="shared" si="0"/>
        <v>13</v>
      </c>
      <c r="C20" s="80" t="s">
        <v>126</v>
      </c>
      <c r="D20" s="81" t="s">
        <v>107</v>
      </c>
      <c r="E20" s="30"/>
      <c r="F20" s="25"/>
      <c r="G20" s="14" t="s">
        <v>134</v>
      </c>
      <c r="H20" s="30"/>
      <c r="I20" s="26">
        <v>0</v>
      </c>
      <c r="J20" s="25"/>
      <c r="K20" s="14"/>
      <c r="L20" s="55"/>
      <c r="M20" s="48"/>
      <c r="N20" s="48"/>
      <c r="O20" s="48"/>
      <c r="P20" s="49"/>
      <c r="Q20" s="4"/>
    </row>
    <row r="21" spans="1:17" ht="15.75" customHeight="1">
      <c r="B21" s="79">
        <f t="shared" si="0"/>
        <v>14</v>
      </c>
      <c r="C21" s="80" t="s">
        <v>127</v>
      </c>
      <c r="D21" s="81" t="s">
        <v>108</v>
      </c>
      <c r="E21" s="30"/>
      <c r="F21" s="25"/>
      <c r="G21" s="14" t="s">
        <v>53</v>
      </c>
      <c r="H21" s="30"/>
      <c r="I21" s="26"/>
      <c r="J21" s="25"/>
      <c r="K21" s="14"/>
      <c r="L21" s="55"/>
      <c r="M21" s="48"/>
      <c r="N21" s="48"/>
      <c r="O21" s="48"/>
      <c r="P21" s="49"/>
      <c r="Q21" s="4"/>
    </row>
    <row r="22" spans="1:17" ht="15.75" customHeight="1">
      <c r="B22" s="24">
        <f t="shared" si="0"/>
        <v>15</v>
      </c>
      <c r="C22" s="20" t="s">
        <v>128</v>
      </c>
      <c r="D22" s="14" t="s">
        <v>109</v>
      </c>
      <c r="E22" s="30"/>
      <c r="F22" s="25"/>
      <c r="G22" s="14" t="s">
        <v>134</v>
      </c>
      <c r="H22" s="30"/>
      <c r="I22" s="26">
        <v>0</v>
      </c>
      <c r="J22" s="25"/>
      <c r="K22" s="14"/>
      <c r="L22" s="55"/>
      <c r="M22" s="48"/>
      <c r="N22" s="48"/>
      <c r="O22" s="48"/>
      <c r="P22" s="49"/>
      <c r="Q22" s="4"/>
    </row>
    <row r="23" spans="1:17" ht="15.75" customHeight="1">
      <c r="B23" s="24">
        <f t="shared" si="0"/>
        <v>16</v>
      </c>
      <c r="C23" s="20" t="s">
        <v>129</v>
      </c>
      <c r="D23" s="20" t="s">
        <v>110</v>
      </c>
      <c r="E23" s="29"/>
      <c r="F23" s="25"/>
      <c r="G23" s="20" t="s">
        <v>53</v>
      </c>
      <c r="H23" s="29"/>
      <c r="I23" s="25"/>
      <c r="J23" s="25"/>
      <c r="K23" s="20"/>
      <c r="L23" s="55"/>
      <c r="M23" s="48"/>
      <c r="N23" s="48"/>
      <c r="O23" s="48"/>
      <c r="P23" s="49"/>
      <c r="Q23" s="4"/>
    </row>
    <row r="24" spans="1:17" ht="15.75" customHeight="1">
      <c r="B24" s="79">
        <f t="shared" si="0"/>
        <v>17</v>
      </c>
      <c r="C24" s="80" t="s">
        <v>130</v>
      </c>
      <c r="D24" s="81" t="s">
        <v>111</v>
      </c>
      <c r="E24" s="30"/>
      <c r="F24" s="25"/>
      <c r="G24" s="14" t="s">
        <v>136</v>
      </c>
      <c r="H24" s="30"/>
      <c r="I24" s="26" t="b">
        <v>0</v>
      </c>
      <c r="J24" s="25"/>
      <c r="K24" s="14"/>
      <c r="L24" s="55"/>
      <c r="M24" s="48"/>
      <c r="N24" s="48"/>
      <c r="O24" s="48"/>
      <c r="P24" s="49"/>
      <c r="Q24" s="4"/>
    </row>
    <row r="25" spans="1:17" ht="15.75" customHeight="1">
      <c r="B25" s="24">
        <f t="shared" si="0"/>
        <v>18</v>
      </c>
      <c r="C25" s="20" t="s">
        <v>131</v>
      </c>
      <c r="D25" s="14" t="s">
        <v>112</v>
      </c>
      <c r="E25" s="30"/>
      <c r="F25" s="25"/>
      <c r="G25" s="14" t="s">
        <v>53</v>
      </c>
      <c r="H25" s="30"/>
      <c r="I25" s="26"/>
      <c r="J25" s="25"/>
      <c r="K25" s="14"/>
      <c r="L25" s="55"/>
      <c r="M25" s="48"/>
      <c r="N25" s="48"/>
      <c r="O25" s="48"/>
      <c r="P25" s="49"/>
      <c r="Q25" s="4"/>
    </row>
    <row r="26" spans="1:17" ht="15.75" customHeight="1">
      <c r="B26" s="24">
        <f t="shared" si="0"/>
        <v>19</v>
      </c>
      <c r="C26" s="20" t="s">
        <v>85</v>
      </c>
      <c r="D26" s="14" t="s">
        <v>49</v>
      </c>
      <c r="E26" s="30"/>
      <c r="F26" s="25"/>
      <c r="G26" s="14" t="s">
        <v>54</v>
      </c>
      <c r="H26" s="30"/>
      <c r="I26" s="26" t="s">
        <v>59</v>
      </c>
      <c r="J26" s="25" t="s">
        <v>52</v>
      </c>
      <c r="K26" s="14"/>
      <c r="L26" s="55"/>
      <c r="M26" s="48"/>
      <c r="N26" s="48"/>
      <c r="O26" s="48"/>
      <c r="P26" s="49"/>
      <c r="Q26" s="4"/>
    </row>
    <row r="27" spans="1:17" ht="15.75" customHeight="1">
      <c r="B27" s="24">
        <f t="shared" si="0"/>
        <v>20</v>
      </c>
      <c r="C27" s="20" t="s">
        <v>132</v>
      </c>
      <c r="D27" s="14" t="s">
        <v>76</v>
      </c>
      <c r="E27" s="30"/>
      <c r="F27" s="25"/>
      <c r="G27" s="14" t="s">
        <v>54</v>
      </c>
      <c r="H27" s="30"/>
      <c r="I27" s="26" t="s">
        <v>59</v>
      </c>
      <c r="J27" s="25" t="s">
        <v>52</v>
      </c>
      <c r="K27" s="14"/>
      <c r="L27" s="55"/>
      <c r="M27" s="48"/>
      <c r="N27" s="48"/>
      <c r="O27" s="48"/>
      <c r="P27" s="49"/>
      <c r="Q27" s="4"/>
    </row>
    <row r="28" spans="1:17" ht="15.75" customHeight="1">
      <c r="Q28" s="4"/>
    </row>
    <row r="29" spans="1:17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0"/>
    </row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7">
    <mergeCell ref="B2:C2"/>
    <mergeCell ref="D2:G2"/>
    <mergeCell ref="B3:C3"/>
    <mergeCell ref="D3:G3"/>
    <mergeCell ref="B4:C5"/>
    <mergeCell ref="D4:G5"/>
    <mergeCell ref="L18:P18"/>
    <mergeCell ref="L7:P7"/>
    <mergeCell ref="L8:P8"/>
    <mergeCell ref="L9:P9"/>
    <mergeCell ref="L10:P10"/>
    <mergeCell ref="L11:P11"/>
    <mergeCell ref="L12:P12"/>
    <mergeCell ref="L13:P13"/>
    <mergeCell ref="L14:P14"/>
    <mergeCell ref="L15:P15"/>
    <mergeCell ref="L16:P16"/>
    <mergeCell ref="L17:P17"/>
    <mergeCell ref="L25:P25"/>
    <mergeCell ref="L26:P26"/>
    <mergeCell ref="L27:P27"/>
    <mergeCell ref="L19:P19"/>
    <mergeCell ref="L20:P20"/>
    <mergeCell ref="L21:P21"/>
    <mergeCell ref="L22:P22"/>
    <mergeCell ref="L23:P23"/>
    <mergeCell ref="L24:P24"/>
  </mergeCells>
  <phoneticPr fontId="2"/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42E0-212A-4CF0-BF2E-26B47254920B}">
  <sheetPr>
    <outlinePr summaryBelow="0" summaryRight="0"/>
  </sheetPr>
  <dimension ref="A1:Q976"/>
  <sheetViews>
    <sheetView zoomScale="115" zoomScaleNormal="115" workbookViewId="0">
      <selection activeCell="C1" sqref="C1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141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140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144</v>
      </c>
      <c r="D9" s="14" t="s">
        <v>142</v>
      </c>
      <c r="E9" s="25" t="s">
        <v>52</v>
      </c>
      <c r="F9" s="25"/>
      <c r="G9" s="14" t="s">
        <v>66</v>
      </c>
      <c r="H9" s="25"/>
      <c r="I9" s="14"/>
      <c r="J9" s="25" t="s">
        <v>52</v>
      </c>
      <c r="K9" s="14" t="s">
        <v>146</v>
      </c>
      <c r="L9" s="59"/>
      <c r="M9" s="57"/>
      <c r="N9" s="57"/>
      <c r="O9" s="57"/>
      <c r="P9" s="58"/>
      <c r="Q9" s="4"/>
    </row>
    <row r="10" spans="1:17" ht="15.75" customHeight="1">
      <c r="B10" s="24">
        <f t="shared" ref="B10:B11" si="0">ROW()-7</f>
        <v>3</v>
      </c>
      <c r="C10" s="14" t="s">
        <v>145</v>
      </c>
      <c r="D10" s="14" t="s">
        <v>143</v>
      </c>
      <c r="E10" s="25" t="s">
        <v>52</v>
      </c>
      <c r="F10" s="14"/>
      <c r="G10" s="14" t="s">
        <v>66</v>
      </c>
      <c r="H10" s="25"/>
      <c r="I10" s="14"/>
      <c r="J10" s="25" t="s">
        <v>52</v>
      </c>
      <c r="K10" s="14" t="s">
        <v>146</v>
      </c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123</v>
      </c>
      <c r="D11" s="20" t="s">
        <v>104</v>
      </c>
      <c r="E11" s="29"/>
      <c r="F11" s="25"/>
      <c r="G11" s="20" t="s">
        <v>134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Q12" s="4"/>
    </row>
    <row r="13" spans="1:17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0"/>
    </row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1">
    <mergeCell ref="B2:C2"/>
    <mergeCell ref="D2:G2"/>
    <mergeCell ref="B3:C3"/>
    <mergeCell ref="D3:G3"/>
    <mergeCell ref="B4:C5"/>
    <mergeCell ref="D4:G5"/>
    <mergeCell ref="L7:P7"/>
    <mergeCell ref="L8:P8"/>
    <mergeCell ref="L9:P9"/>
    <mergeCell ref="L10:P10"/>
    <mergeCell ref="L11:P11"/>
  </mergeCells>
  <phoneticPr fontId="2"/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EDF4-6C64-4D90-93D7-F84ACA341AD9}">
  <sheetPr>
    <outlinePr summaryBelow="0" summaryRight="0"/>
  </sheetPr>
  <dimension ref="A1:Q978"/>
  <sheetViews>
    <sheetView zoomScale="115" zoomScaleNormal="115" workbookViewId="0">
      <selection activeCell="F19" sqref="F19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489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488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113</v>
      </c>
      <c r="D9" s="14" t="s">
        <v>97</v>
      </c>
      <c r="E9" s="25"/>
      <c r="F9" s="25"/>
      <c r="G9" s="14" t="s">
        <v>66</v>
      </c>
      <c r="H9" s="25"/>
      <c r="I9" s="14"/>
      <c r="J9" s="25" t="s">
        <v>52</v>
      </c>
      <c r="K9" s="14"/>
      <c r="L9" s="59"/>
      <c r="M9" s="57"/>
      <c r="N9" s="57"/>
      <c r="O9" s="57"/>
      <c r="P9" s="58"/>
      <c r="Q9" s="4"/>
    </row>
    <row r="10" spans="1:17" ht="15.75" customHeight="1">
      <c r="B10" s="24">
        <f t="shared" ref="B10:B13" si="0">ROW()-7</f>
        <v>3</v>
      </c>
      <c r="C10" s="14" t="s">
        <v>491</v>
      </c>
      <c r="D10" s="14" t="s">
        <v>46</v>
      </c>
      <c r="E10" s="25"/>
      <c r="F10" s="14"/>
      <c r="G10" s="14" t="s">
        <v>51</v>
      </c>
      <c r="H10" s="25"/>
      <c r="I10" s="14"/>
      <c r="J10" s="25" t="s">
        <v>52</v>
      </c>
      <c r="K10" s="14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80</v>
      </c>
      <c r="D11" s="20" t="s">
        <v>71</v>
      </c>
      <c r="E11" s="29"/>
      <c r="F11" s="25"/>
      <c r="G11" s="20" t="s">
        <v>53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492</v>
      </c>
      <c r="D12" s="20" t="s">
        <v>490</v>
      </c>
      <c r="E12" s="29"/>
      <c r="F12" s="25"/>
      <c r="G12" s="20" t="s">
        <v>493</v>
      </c>
      <c r="H12" s="29"/>
      <c r="I12" s="25">
        <v>0</v>
      </c>
      <c r="J12" s="25"/>
      <c r="K12" s="20"/>
      <c r="L12" s="55"/>
      <c r="M12" s="48"/>
      <c r="N12" s="48"/>
      <c r="O12" s="48"/>
      <c r="P12" s="49"/>
      <c r="Q12" s="4"/>
    </row>
    <row r="13" spans="1:17" ht="15.75" customHeight="1">
      <c r="B13" s="24">
        <f t="shared" si="0"/>
        <v>6</v>
      </c>
      <c r="C13" s="20" t="s">
        <v>132</v>
      </c>
      <c r="D13" s="20" t="s">
        <v>76</v>
      </c>
      <c r="E13" s="29"/>
      <c r="F13" s="25"/>
      <c r="G13" s="20" t="s">
        <v>54</v>
      </c>
      <c r="H13" s="29"/>
      <c r="I13" s="25" t="s">
        <v>59</v>
      </c>
      <c r="J13" s="25"/>
      <c r="K13" s="20"/>
      <c r="L13" s="55"/>
      <c r="M13" s="48"/>
      <c r="N13" s="48"/>
      <c r="O13" s="48"/>
      <c r="P13" s="49"/>
      <c r="Q13" s="4"/>
    </row>
    <row r="14" spans="1:17" ht="15.75" customHeight="1">
      <c r="Q14" s="4"/>
    </row>
    <row r="15" spans="1:17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0"/>
    </row>
    <row r="16" spans="1:17" ht="15.75" customHeight="1"/>
    <row r="17" spans="2:2" ht="15.75" customHeight="1">
      <c r="B17" s="5" t="s">
        <v>494</v>
      </c>
    </row>
    <row r="18" spans="2:2" ht="15.75" customHeight="1">
      <c r="B18" s="5" t="s">
        <v>272</v>
      </c>
    </row>
    <row r="19" spans="2:2" ht="15.75" customHeight="1">
      <c r="B19" s="5" t="s">
        <v>495</v>
      </c>
    </row>
    <row r="20" spans="2:2" ht="15.75" customHeight="1">
      <c r="B20" s="5" t="s">
        <v>273</v>
      </c>
    </row>
    <row r="21" spans="2:2" ht="15.75" customHeight="1">
      <c r="B21" s="5" t="s">
        <v>299</v>
      </c>
    </row>
    <row r="22" spans="2:2" ht="15.75" customHeight="1">
      <c r="B22" s="5" t="s">
        <v>496</v>
      </c>
    </row>
    <row r="23" spans="2:2" ht="15.75" customHeight="1">
      <c r="B23" s="5" t="s">
        <v>277</v>
      </c>
    </row>
    <row r="24" spans="2:2" ht="15.75" customHeight="1">
      <c r="B24" s="5" t="s">
        <v>497</v>
      </c>
    </row>
    <row r="25" spans="2:2" ht="15.75" customHeight="1">
      <c r="B25" s="5" t="s">
        <v>498</v>
      </c>
    </row>
    <row r="26" spans="2:2" ht="15.75" customHeight="1">
      <c r="B26" s="5" t="s">
        <v>499</v>
      </c>
    </row>
    <row r="27" spans="2:2" ht="15.75" customHeight="1">
      <c r="B27" s="5" t="s">
        <v>500</v>
      </c>
    </row>
    <row r="28" spans="2:2" ht="15.75" customHeight="1">
      <c r="B28" s="5" t="s">
        <v>280</v>
      </c>
    </row>
    <row r="29" spans="2:2" ht="15.75" customHeight="1"/>
    <row r="30" spans="2:2" ht="15.75" customHeight="1">
      <c r="B30" s="5" t="s">
        <v>501</v>
      </c>
    </row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3">
    <mergeCell ref="L13:P13"/>
    <mergeCell ref="L7:P7"/>
    <mergeCell ref="L8:P8"/>
    <mergeCell ref="L9:P9"/>
    <mergeCell ref="L10:P10"/>
    <mergeCell ref="L11:P11"/>
    <mergeCell ref="L12:P12"/>
    <mergeCell ref="B2:C2"/>
    <mergeCell ref="D2:G2"/>
    <mergeCell ref="B3:C3"/>
    <mergeCell ref="D3:G3"/>
    <mergeCell ref="B4:C5"/>
    <mergeCell ref="D4:G5"/>
  </mergeCells>
  <phoneticPr fontId="2"/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4690-323C-42BD-8A08-773B8DD1DF68}">
  <sheetPr>
    <outlinePr summaryBelow="0" summaryRight="0"/>
  </sheetPr>
  <dimension ref="A1:Q981"/>
  <sheetViews>
    <sheetView zoomScale="115" zoomScaleNormal="115" workbookViewId="0">
      <selection activeCell="C13" sqref="C13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18.69140625" style="5" customWidth="1"/>
    <col min="12" max="12" width="1.3046875" style="5"/>
    <col min="13" max="13" width="20" style="5" customWidth="1"/>
    <col min="14" max="15" width="1.3046875" style="5"/>
    <col min="16" max="16" width="22.3046875" style="5" customWidth="1"/>
    <col min="17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522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521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113</v>
      </c>
      <c r="D9" s="14" t="s">
        <v>97</v>
      </c>
      <c r="E9" s="25"/>
      <c r="F9" s="25"/>
      <c r="G9" s="14" t="s">
        <v>66</v>
      </c>
      <c r="H9" s="25"/>
      <c r="I9" s="14"/>
      <c r="J9" s="25" t="s">
        <v>52</v>
      </c>
      <c r="K9" s="14"/>
      <c r="L9" s="59"/>
      <c r="M9" s="57"/>
      <c r="N9" s="57"/>
      <c r="O9" s="57"/>
      <c r="P9" s="58"/>
      <c r="Q9" s="4"/>
    </row>
    <row r="10" spans="1:17" ht="15.75" customHeight="1">
      <c r="B10" s="24">
        <f t="shared" ref="B10:B16" si="0">ROW()-7</f>
        <v>3</v>
      </c>
      <c r="C10" s="14" t="s">
        <v>491</v>
      </c>
      <c r="D10" s="14" t="s">
        <v>46</v>
      </c>
      <c r="E10" s="25"/>
      <c r="F10" s="14"/>
      <c r="G10" s="14" t="s">
        <v>51</v>
      </c>
      <c r="H10" s="25"/>
      <c r="I10" s="14"/>
      <c r="J10" s="25" t="s">
        <v>52</v>
      </c>
      <c r="K10" s="14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80</v>
      </c>
      <c r="D11" s="20" t="s">
        <v>71</v>
      </c>
      <c r="E11" s="29"/>
      <c r="F11" s="25"/>
      <c r="G11" s="20" t="s">
        <v>53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531</v>
      </c>
      <c r="D12" s="20" t="s">
        <v>490</v>
      </c>
      <c r="E12" s="29"/>
      <c r="F12" s="25"/>
      <c r="G12" s="20" t="s">
        <v>493</v>
      </c>
      <c r="H12" s="29"/>
      <c r="I12" s="25"/>
      <c r="J12" s="25" t="s">
        <v>52</v>
      </c>
      <c r="K12" s="20"/>
      <c r="L12" s="55"/>
      <c r="M12" s="48"/>
      <c r="N12" s="48"/>
      <c r="O12" s="48"/>
      <c r="P12" s="49"/>
      <c r="Q12" s="4"/>
    </row>
    <row r="13" spans="1:17" ht="127.75" customHeight="1">
      <c r="B13" s="24">
        <f t="shared" si="0"/>
        <v>6</v>
      </c>
      <c r="C13" s="20" t="s">
        <v>62</v>
      </c>
      <c r="D13" s="20" t="s">
        <v>48</v>
      </c>
      <c r="E13" s="29"/>
      <c r="F13" s="25"/>
      <c r="G13" s="20" t="s">
        <v>53</v>
      </c>
      <c r="H13" s="29"/>
      <c r="I13" s="25"/>
      <c r="J13" s="25" t="s">
        <v>52</v>
      </c>
      <c r="K13" s="20"/>
      <c r="L13" s="89" t="s">
        <v>524</v>
      </c>
      <c r="M13" s="48"/>
      <c r="N13" s="48"/>
      <c r="O13" s="48"/>
      <c r="P13" s="49"/>
      <c r="Q13" s="4"/>
    </row>
    <row r="14" spans="1:17" ht="15.75" customHeight="1">
      <c r="B14" s="24">
        <f t="shared" si="0"/>
        <v>7</v>
      </c>
      <c r="C14" s="20" t="s">
        <v>527</v>
      </c>
      <c r="D14" s="20" t="s">
        <v>526</v>
      </c>
      <c r="E14" s="29"/>
      <c r="F14" s="25"/>
      <c r="G14" s="20" t="s">
        <v>66</v>
      </c>
      <c r="H14" s="29"/>
      <c r="I14" s="25"/>
      <c r="J14" s="25"/>
      <c r="K14" s="20"/>
      <c r="L14" s="55"/>
      <c r="M14" s="48"/>
      <c r="N14" s="48"/>
      <c r="O14" s="48"/>
      <c r="P14" s="49"/>
      <c r="Q14" s="4"/>
    </row>
    <row r="15" spans="1:17" ht="15.75" customHeight="1">
      <c r="B15" s="24">
        <f t="shared" si="0"/>
        <v>8</v>
      </c>
      <c r="C15" s="20" t="s">
        <v>530</v>
      </c>
      <c r="D15" s="20" t="s">
        <v>529</v>
      </c>
      <c r="E15" s="29"/>
      <c r="F15" s="25"/>
      <c r="G15" s="20" t="s">
        <v>54</v>
      </c>
      <c r="H15" s="29"/>
      <c r="I15" s="25" t="s">
        <v>59</v>
      </c>
      <c r="J15" s="25" t="s">
        <v>52</v>
      </c>
      <c r="K15" s="20"/>
      <c r="L15" s="55"/>
      <c r="M15" s="48"/>
      <c r="N15" s="48"/>
      <c r="O15" s="48"/>
      <c r="P15" s="49"/>
      <c r="Q15" s="4"/>
    </row>
    <row r="16" spans="1:17" ht="15.75" customHeight="1">
      <c r="B16" s="24">
        <f t="shared" si="0"/>
        <v>9</v>
      </c>
      <c r="C16" s="20" t="s">
        <v>131</v>
      </c>
      <c r="D16" s="20" t="s">
        <v>112</v>
      </c>
      <c r="E16" s="29"/>
      <c r="F16" s="25"/>
      <c r="G16" s="20" t="s">
        <v>53</v>
      </c>
      <c r="H16" s="29"/>
      <c r="I16" s="25"/>
      <c r="J16" s="25"/>
      <c r="K16" s="20"/>
      <c r="L16" s="55"/>
      <c r="M16" s="48"/>
      <c r="N16" s="48"/>
      <c r="O16" s="48"/>
      <c r="P16" s="49"/>
      <c r="Q16" s="4"/>
    </row>
    <row r="17" spans="1:17" ht="15.75" customHeight="1">
      <c r="Q17" s="4"/>
    </row>
    <row r="18" spans="1:17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0"/>
    </row>
    <row r="19" spans="1:17" ht="15.75" customHeight="1"/>
    <row r="20" spans="1:17" ht="15.75" customHeight="1">
      <c r="B20" s="5" t="s">
        <v>520</v>
      </c>
    </row>
    <row r="21" spans="1:17" ht="15.75" customHeight="1">
      <c r="B21" s="5" t="s">
        <v>272</v>
      </c>
    </row>
    <row r="22" spans="1:17" ht="15.75" customHeight="1">
      <c r="B22" s="5" t="s">
        <v>273</v>
      </c>
    </row>
    <row r="23" spans="1:17" ht="15.75" customHeight="1">
      <c r="B23" s="5" t="s">
        <v>495</v>
      </c>
    </row>
    <row r="24" spans="1:17" ht="15.75" customHeight="1">
      <c r="B24" s="5" t="s">
        <v>299</v>
      </c>
    </row>
    <row r="25" spans="1:17" ht="15.75" customHeight="1">
      <c r="B25" s="5" t="s">
        <v>502</v>
      </c>
    </row>
    <row r="26" spans="1:17" ht="15.75" customHeight="1">
      <c r="B26" s="5" t="s">
        <v>523</v>
      </c>
    </row>
    <row r="27" spans="1:17" ht="15.75" customHeight="1">
      <c r="B27" s="5" t="s">
        <v>525</v>
      </c>
    </row>
    <row r="28" spans="1:17" ht="15.75" customHeight="1">
      <c r="B28" s="5" t="s">
        <v>528</v>
      </c>
    </row>
    <row r="29" spans="1:17" ht="15.75" customHeight="1">
      <c r="B29" s="5" t="s">
        <v>503</v>
      </c>
    </row>
    <row r="30" spans="1:17" ht="15.75" customHeight="1">
      <c r="B30" s="5" t="s">
        <v>504</v>
      </c>
    </row>
    <row r="31" spans="1:17" ht="15.75" customHeight="1">
      <c r="B31" s="5" t="s">
        <v>505</v>
      </c>
    </row>
    <row r="32" spans="1:17" ht="15.75" customHeight="1">
      <c r="B32" s="5" t="s">
        <v>506</v>
      </c>
    </row>
    <row r="33" spans="2:2" ht="15.75" customHeight="1">
      <c r="B33" s="5" t="s">
        <v>507</v>
      </c>
    </row>
    <row r="34" spans="2:2" ht="15.75" customHeight="1">
      <c r="B34" s="5" t="s">
        <v>508</v>
      </c>
    </row>
    <row r="35" spans="2:2" ht="15.75" customHeight="1">
      <c r="B35" s="5" t="s">
        <v>315</v>
      </c>
    </row>
    <row r="36" spans="2:2" ht="15.75" customHeight="1">
      <c r="B36" s="5" t="s">
        <v>509</v>
      </c>
    </row>
    <row r="37" spans="2:2" ht="15.75" customHeight="1">
      <c r="B37" s="5" t="s">
        <v>317</v>
      </c>
    </row>
    <row r="38" spans="2:2" ht="15.75" customHeight="1">
      <c r="B38" s="5" t="s">
        <v>510</v>
      </c>
    </row>
    <row r="39" spans="2:2" ht="15.75" customHeight="1">
      <c r="B39" s="5" t="s">
        <v>511</v>
      </c>
    </row>
    <row r="40" spans="2:2" ht="15.75" customHeight="1">
      <c r="B40" s="5" t="s">
        <v>512</v>
      </c>
    </row>
    <row r="41" spans="2:2" ht="15.75" customHeight="1">
      <c r="B41" s="5" t="s">
        <v>513</v>
      </c>
    </row>
    <row r="42" spans="2:2" ht="15.75" customHeight="1">
      <c r="B42" s="5" t="s">
        <v>514</v>
      </c>
    </row>
    <row r="43" spans="2:2" ht="15.75" customHeight="1">
      <c r="B43" s="5" t="s">
        <v>515</v>
      </c>
    </row>
    <row r="44" spans="2:2" ht="15.75" customHeight="1">
      <c r="B44" s="5" t="s">
        <v>516</v>
      </c>
    </row>
    <row r="45" spans="2:2" ht="15.75" customHeight="1">
      <c r="B45" s="5" t="s">
        <v>517</v>
      </c>
    </row>
    <row r="46" spans="2:2" ht="15.75" customHeight="1">
      <c r="B46" s="5" t="s">
        <v>518</v>
      </c>
    </row>
    <row r="47" spans="2:2" ht="15.75" customHeight="1">
      <c r="B47" s="5" t="s">
        <v>321</v>
      </c>
    </row>
    <row r="48" spans="2:2" ht="15.75" customHeight="1">
      <c r="B48" s="5" t="s">
        <v>322</v>
      </c>
    </row>
    <row r="49" spans="2:2" ht="15.75" customHeight="1">
      <c r="B49" s="5" t="s">
        <v>323</v>
      </c>
    </row>
    <row r="50" spans="2:2" ht="15.75" customHeight="1">
      <c r="B50" s="5" t="s">
        <v>324</v>
      </c>
    </row>
    <row r="51" spans="2:2" ht="15.75" customHeight="1">
      <c r="B51" s="5" t="s">
        <v>280</v>
      </c>
    </row>
    <row r="52" spans="2:2" ht="15.75" customHeight="1"/>
    <row r="53" spans="2:2" ht="15.75" customHeight="1">
      <c r="B53" s="5" t="s">
        <v>519</v>
      </c>
    </row>
    <row r="54" spans="2:2" ht="15.75" customHeight="1"/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6">
    <mergeCell ref="L13:P13"/>
    <mergeCell ref="L14:P14"/>
    <mergeCell ref="L15:P15"/>
    <mergeCell ref="L16:P16"/>
    <mergeCell ref="L7:P7"/>
    <mergeCell ref="L8:P8"/>
    <mergeCell ref="L9:P9"/>
    <mergeCell ref="L10:P10"/>
    <mergeCell ref="L11:P11"/>
    <mergeCell ref="L12:P12"/>
    <mergeCell ref="B2:C2"/>
    <mergeCell ref="D2:G2"/>
    <mergeCell ref="B3:C3"/>
    <mergeCell ref="D3:G3"/>
    <mergeCell ref="B4:C5"/>
    <mergeCell ref="D4:G5"/>
  </mergeCells>
  <phoneticPr fontId="2"/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4DA9-758D-46C4-A78E-044E553974F8}">
  <sheetPr>
    <outlinePr summaryBelow="0" summaryRight="0"/>
  </sheetPr>
  <dimension ref="A1:Q977"/>
  <sheetViews>
    <sheetView zoomScale="115" zoomScaleNormal="115" workbookViewId="0">
      <selection activeCell="F10" sqref="F10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18.69140625" style="5" customWidth="1"/>
    <col min="12" max="12" width="1.3046875" style="5"/>
    <col min="13" max="13" width="20" style="5" customWidth="1"/>
    <col min="14" max="15" width="1.3046875" style="5"/>
    <col min="16" max="16" width="22.3046875" style="5" customWidth="1"/>
    <col min="17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536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535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B9" s="24">
        <f t="shared" ref="B9:B12" si="0">ROW()-7</f>
        <v>2</v>
      </c>
      <c r="C9" s="14" t="s">
        <v>491</v>
      </c>
      <c r="D9" s="14" t="s">
        <v>46</v>
      </c>
      <c r="E9" s="25"/>
      <c r="F9" s="14"/>
      <c r="G9" s="14" t="s">
        <v>51</v>
      </c>
      <c r="H9" s="25"/>
      <c r="I9" s="14"/>
      <c r="J9" s="25" t="s">
        <v>52</v>
      </c>
      <c r="K9" s="14"/>
      <c r="L9" s="55"/>
      <c r="M9" s="48"/>
      <c r="N9" s="48"/>
      <c r="O9" s="48"/>
      <c r="P9" s="49"/>
      <c r="Q9" s="4"/>
    </row>
    <row r="10" spans="1:17" ht="15.75" customHeight="1">
      <c r="B10" s="24">
        <f t="shared" si="0"/>
        <v>3</v>
      </c>
      <c r="C10" s="20" t="s">
        <v>538</v>
      </c>
      <c r="D10" s="20" t="s">
        <v>47</v>
      </c>
      <c r="E10" s="29"/>
      <c r="F10" s="25"/>
      <c r="G10" s="20" t="s">
        <v>53</v>
      </c>
      <c r="H10" s="29"/>
      <c r="I10" s="25"/>
      <c r="J10" s="25" t="s">
        <v>52</v>
      </c>
      <c r="K10" s="20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541</v>
      </c>
      <c r="D11" s="20" t="s">
        <v>540</v>
      </c>
      <c r="E11" s="29"/>
      <c r="F11" s="25"/>
      <c r="G11" s="20" t="s">
        <v>53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3.75">
      <c r="B12" s="24">
        <f t="shared" si="0"/>
        <v>5</v>
      </c>
      <c r="C12" s="20" t="s">
        <v>63</v>
      </c>
      <c r="D12" s="20" t="s">
        <v>65</v>
      </c>
      <c r="E12" s="29"/>
      <c r="F12" s="25"/>
      <c r="G12" s="20" t="s">
        <v>64</v>
      </c>
      <c r="H12" s="29"/>
      <c r="I12" s="25">
        <v>0</v>
      </c>
      <c r="J12" s="25"/>
      <c r="K12" s="20"/>
      <c r="L12" s="89"/>
      <c r="M12" s="48"/>
      <c r="N12" s="48"/>
      <c r="O12" s="48"/>
      <c r="P12" s="49"/>
      <c r="Q12" s="4"/>
    </row>
    <row r="13" spans="1:17" ht="15.75" customHeight="1">
      <c r="Q13" s="4"/>
    </row>
    <row r="14" spans="1:17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0"/>
    </row>
    <row r="15" spans="1:17" ht="15.75" customHeight="1"/>
    <row r="16" spans="1:17" ht="15.75" customHeight="1">
      <c r="B16" s="5" t="s">
        <v>534</v>
      </c>
    </row>
    <row r="17" spans="2:2" ht="15.75" customHeight="1">
      <c r="B17" s="5" t="s">
        <v>272</v>
      </c>
    </row>
    <row r="18" spans="2:2" ht="15.75" customHeight="1">
      <c r="B18" s="5" t="s">
        <v>273</v>
      </c>
    </row>
    <row r="19" spans="2:2" ht="15.75" customHeight="1">
      <c r="B19" s="5" t="s">
        <v>537</v>
      </c>
    </row>
    <row r="20" spans="2:2" ht="15.75" customHeight="1">
      <c r="B20" s="5" t="s">
        <v>539</v>
      </c>
    </row>
    <row r="21" spans="2:2" ht="15.75" customHeight="1">
      <c r="B21" s="5" t="s">
        <v>542</v>
      </c>
    </row>
    <row r="22" spans="2:2" ht="15.75" customHeight="1">
      <c r="B22" s="5" t="s">
        <v>276</v>
      </c>
    </row>
    <row r="23" spans="2:2" ht="15.75" customHeight="1">
      <c r="B23" s="5" t="s">
        <v>532</v>
      </c>
    </row>
    <row r="24" spans="2:2" ht="15.75" customHeight="1">
      <c r="B24" s="5" t="s">
        <v>533</v>
      </c>
    </row>
    <row r="25" spans="2:2" ht="15.75" customHeight="1">
      <c r="B25" s="5" t="s">
        <v>280</v>
      </c>
    </row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2">
    <mergeCell ref="L12:P12"/>
    <mergeCell ref="L7:P7"/>
    <mergeCell ref="L8:P8"/>
    <mergeCell ref="L9:P9"/>
    <mergeCell ref="L10:P10"/>
    <mergeCell ref="L11:P11"/>
    <mergeCell ref="B2:C2"/>
    <mergeCell ref="D2:G2"/>
    <mergeCell ref="B3:C3"/>
    <mergeCell ref="D3:G3"/>
    <mergeCell ref="B4:C5"/>
    <mergeCell ref="D4:G5"/>
  </mergeCells>
  <phoneticPr fontId="2"/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6C1B-F9FC-42E0-B51D-AFE1CC72F7FA}">
  <sheetPr>
    <outlinePr summaryBelow="0" summaryRight="0"/>
  </sheetPr>
  <dimension ref="A1:Q979"/>
  <sheetViews>
    <sheetView zoomScale="115" zoomScaleNormal="115" workbookViewId="0">
      <selection activeCell="G17" sqref="G17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18.69140625" style="5" customWidth="1"/>
    <col min="12" max="12" width="1.3046875" style="5"/>
    <col min="13" max="13" width="20" style="5" customWidth="1"/>
    <col min="14" max="15" width="1.3046875" style="5"/>
    <col min="16" max="16" width="22.3046875" style="5" customWidth="1"/>
    <col min="17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548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547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B9" s="24">
        <f t="shared" ref="B9:B14" si="0">ROW()-7</f>
        <v>2</v>
      </c>
      <c r="C9" s="14" t="s">
        <v>491</v>
      </c>
      <c r="D9" s="14" t="s">
        <v>46</v>
      </c>
      <c r="E9" s="25"/>
      <c r="F9" s="14"/>
      <c r="G9" s="14" t="s">
        <v>51</v>
      </c>
      <c r="H9" s="25"/>
      <c r="I9" s="14"/>
      <c r="J9" s="25" t="s">
        <v>52</v>
      </c>
      <c r="K9" s="14"/>
      <c r="L9" s="55"/>
      <c r="M9" s="48"/>
      <c r="N9" s="48"/>
      <c r="O9" s="48"/>
      <c r="P9" s="49"/>
      <c r="Q9" s="4"/>
    </row>
    <row r="10" spans="1:17" ht="15.75" customHeight="1">
      <c r="B10" s="24">
        <f t="shared" si="0"/>
        <v>3</v>
      </c>
      <c r="C10" s="20" t="s">
        <v>550</v>
      </c>
      <c r="D10" s="20" t="s">
        <v>549</v>
      </c>
      <c r="E10" s="29"/>
      <c r="F10" s="25"/>
      <c r="G10" s="20" t="s">
        <v>66</v>
      </c>
      <c r="H10" s="29"/>
      <c r="I10" s="25"/>
      <c r="J10" s="25" t="s">
        <v>52</v>
      </c>
      <c r="K10" s="20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538</v>
      </c>
      <c r="D11" s="20" t="s">
        <v>47</v>
      </c>
      <c r="E11" s="29"/>
      <c r="F11" s="25"/>
      <c r="G11" s="20" t="s">
        <v>53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80</v>
      </c>
      <c r="D12" s="20" t="s">
        <v>71</v>
      </c>
      <c r="E12" s="29"/>
      <c r="F12" s="25"/>
      <c r="G12" s="20" t="s">
        <v>53</v>
      </c>
      <c r="H12" s="29"/>
      <c r="I12" s="25" t="s">
        <v>553</v>
      </c>
      <c r="J12" s="25" t="s">
        <v>52</v>
      </c>
      <c r="K12" s="20"/>
      <c r="L12" s="55"/>
      <c r="M12" s="48"/>
      <c r="N12" s="48"/>
      <c r="O12" s="48"/>
      <c r="P12" s="49"/>
      <c r="Q12" s="4"/>
    </row>
    <row r="13" spans="1:17" ht="15.75" customHeight="1">
      <c r="B13" s="24">
        <f t="shared" si="0"/>
        <v>6</v>
      </c>
      <c r="C13" s="20" t="s">
        <v>131</v>
      </c>
      <c r="D13" s="20" t="s">
        <v>555</v>
      </c>
      <c r="E13" s="29"/>
      <c r="F13" s="25"/>
      <c r="G13" s="20" t="s">
        <v>53</v>
      </c>
      <c r="H13" s="29"/>
      <c r="I13" s="25"/>
      <c r="J13" s="25"/>
      <c r="K13" s="20"/>
      <c r="L13" s="55"/>
      <c r="M13" s="48"/>
      <c r="N13" s="48"/>
      <c r="O13" s="48"/>
      <c r="P13" s="49"/>
      <c r="Q13" s="4"/>
    </row>
    <row r="14" spans="1:17" ht="13.75">
      <c r="B14" s="24">
        <f t="shared" si="0"/>
        <v>7</v>
      </c>
      <c r="C14" s="20" t="s">
        <v>85</v>
      </c>
      <c r="D14" s="20" t="s">
        <v>49</v>
      </c>
      <c r="E14" s="29"/>
      <c r="F14" s="25"/>
      <c r="G14" s="20" t="s">
        <v>54</v>
      </c>
      <c r="H14" s="29"/>
      <c r="I14" s="25" t="s">
        <v>59</v>
      </c>
      <c r="J14" s="25"/>
      <c r="K14" s="20"/>
      <c r="L14" s="89"/>
      <c r="M14" s="48"/>
      <c r="N14" s="48"/>
      <c r="O14" s="48"/>
      <c r="P14" s="49"/>
      <c r="Q14" s="4"/>
    </row>
    <row r="15" spans="1:17" ht="15.75" customHeight="1">
      <c r="Q15" s="4"/>
    </row>
    <row r="16" spans="1:17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0"/>
    </row>
    <row r="17" spans="2:2" ht="15.75" customHeight="1"/>
    <row r="18" spans="2:2" ht="15.75" customHeight="1">
      <c r="B18" s="5" t="s">
        <v>546</v>
      </c>
    </row>
    <row r="19" spans="2:2" ht="15.75" customHeight="1">
      <c r="B19" s="5" t="s">
        <v>272</v>
      </c>
    </row>
    <row r="20" spans="2:2" ht="15.75" customHeight="1">
      <c r="B20" s="5" t="s">
        <v>273</v>
      </c>
    </row>
    <row r="21" spans="2:2" ht="15.75" customHeight="1">
      <c r="B21" s="5" t="s">
        <v>551</v>
      </c>
    </row>
    <row r="22" spans="2:2" ht="15.75" customHeight="1">
      <c r="B22" s="5" t="s">
        <v>274</v>
      </c>
    </row>
    <row r="23" spans="2:2" ht="15.75" customHeight="1">
      <c r="B23" s="5" t="s">
        <v>552</v>
      </c>
    </row>
    <row r="24" spans="2:2" ht="15.75" customHeight="1">
      <c r="B24" s="5" t="s">
        <v>554</v>
      </c>
    </row>
    <row r="25" spans="2:2" ht="15.75" customHeight="1">
      <c r="B25" s="5" t="s">
        <v>556</v>
      </c>
    </row>
    <row r="26" spans="2:2" ht="15.75" customHeight="1">
      <c r="B26" s="5" t="s">
        <v>543</v>
      </c>
    </row>
    <row r="27" spans="2:2" ht="15.75" customHeight="1">
      <c r="B27" s="5" t="s">
        <v>544</v>
      </c>
    </row>
    <row r="28" spans="2:2" ht="15.75" customHeight="1">
      <c r="B28" s="5" t="s">
        <v>545</v>
      </c>
    </row>
    <row r="29" spans="2:2" ht="15.75" customHeight="1">
      <c r="B29" s="5" t="s">
        <v>280</v>
      </c>
    </row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4">
    <mergeCell ref="L7:P7"/>
    <mergeCell ref="L8:P8"/>
    <mergeCell ref="L9:P9"/>
    <mergeCell ref="L11:P11"/>
    <mergeCell ref="L13:P13"/>
    <mergeCell ref="L14:P14"/>
    <mergeCell ref="L10:P10"/>
    <mergeCell ref="L12:P12"/>
    <mergeCell ref="B2:C2"/>
    <mergeCell ref="D2:G2"/>
    <mergeCell ref="B3:C3"/>
    <mergeCell ref="D3:G3"/>
    <mergeCell ref="B4:C5"/>
    <mergeCell ref="D4:G5"/>
  </mergeCells>
  <phoneticPr fontId="2"/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46E-F69B-4A1A-894B-F81014F24BC6}">
  <sheetPr>
    <outlinePr summaryBelow="0" summaryRight="0"/>
  </sheetPr>
  <dimension ref="A1:Q977"/>
  <sheetViews>
    <sheetView tabSelected="1" zoomScale="115" zoomScaleNormal="115" workbookViewId="0">
      <selection activeCell="D19" sqref="D19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18.69140625" style="5" customWidth="1"/>
    <col min="12" max="12" width="1.3046875" style="5"/>
    <col min="13" max="13" width="20" style="5" customWidth="1"/>
    <col min="14" max="15" width="1.3046875" style="5"/>
    <col min="16" max="16" width="22.3046875" style="5" customWidth="1"/>
    <col min="17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562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561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B9" s="24">
        <f t="shared" ref="B9:B13" si="0">ROW()-7</f>
        <v>2</v>
      </c>
      <c r="C9" s="14" t="s">
        <v>116</v>
      </c>
      <c r="D9" s="14" t="s">
        <v>99</v>
      </c>
      <c r="E9" s="25"/>
      <c r="F9" s="14"/>
      <c r="G9" s="20" t="s">
        <v>66</v>
      </c>
      <c r="H9" s="25"/>
      <c r="I9" s="14"/>
      <c r="J9" s="25" t="s">
        <v>52</v>
      </c>
      <c r="K9" s="14"/>
      <c r="L9" s="55"/>
      <c r="M9" s="48"/>
      <c r="N9" s="48"/>
      <c r="O9" s="48"/>
      <c r="P9" s="49"/>
      <c r="Q9" s="4"/>
    </row>
    <row r="10" spans="1:17" ht="15.75" customHeight="1">
      <c r="B10" s="24">
        <f t="shared" si="0"/>
        <v>3</v>
      </c>
      <c r="C10" s="20" t="s">
        <v>566</v>
      </c>
      <c r="D10" s="20" t="s">
        <v>565</v>
      </c>
      <c r="E10" s="29"/>
      <c r="F10" s="25"/>
      <c r="G10" s="20" t="s">
        <v>133</v>
      </c>
      <c r="H10" s="29"/>
      <c r="I10" s="25"/>
      <c r="J10" s="25" t="s">
        <v>52</v>
      </c>
      <c r="K10" s="20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569</v>
      </c>
      <c r="D11" s="20" t="s">
        <v>568</v>
      </c>
      <c r="E11" s="29"/>
      <c r="F11" s="25"/>
      <c r="G11" s="20" t="s">
        <v>493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572</v>
      </c>
      <c r="D12" s="20" t="s">
        <v>571</v>
      </c>
      <c r="E12" s="29"/>
      <c r="F12" s="25"/>
      <c r="G12" s="20" t="s">
        <v>493</v>
      </c>
      <c r="H12" s="29"/>
      <c r="I12" s="25"/>
      <c r="J12" s="25"/>
      <c r="K12" s="20"/>
      <c r="L12" s="55"/>
      <c r="M12" s="48"/>
      <c r="N12" s="48"/>
      <c r="O12" s="48"/>
      <c r="P12" s="49"/>
      <c r="Q12" s="4"/>
    </row>
    <row r="13" spans="1:17" ht="15.75" customHeight="1">
      <c r="B13" s="24">
        <f t="shared" si="0"/>
        <v>6</v>
      </c>
      <c r="C13" s="20" t="s">
        <v>131</v>
      </c>
      <c r="D13" s="20" t="s">
        <v>112</v>
      </c>
      <c r="E13" s="29"/>
      <c r="F13" s="25"/>
      <c r="G13" s="20" t="s">
        <v>53</v>
      </c>
      <c r="H13" s="29"/>
      <c r="I13" s="25"/>
      <c r="J13" s="25"/>
      <c r="K13" s="20"/>
      <c r="L13" s="55"/>
      <c r="M13" s="48"/>
      <c r="N13" s="48"/>
      <c r="O13" s="48"/>
      <c r="P13" s="49"/>
      <c r="Q13" s="4"/>
    </row>
    <row r="14" spans="1:17" ht="15.75" customHeight="1">
      <c r="Q14" s="4"/>
    </row>
    <row r="15" spans="1:17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0"/>
    </row>
    <row r="16" spans="1:17" ht="15.75" customHeight="1"/>
    <row r="17" spans="2:2" ht="15.75" customHeight="1">
      <c r="B17" s="5" t="s">
        <v>560</v>
      </c>
    </row>
    <row r="18" spans="2:2" ht="15.75" customHeight="1">
      <c r="B18" s="5" t="s">
        <v>272</v>
      </c>
    </row>
    <row r="19" spans="2:2" ht="15.75" customHeight="1">
      <c r="B19" s="5" t="s">
        <v>563</v>
      </c>
    </row>
    <row r="20" spans="2:2" ht="15.75" customHeight="1">
      <c r="B20" s="5" t="s">
        <v>564</v>
      </c>
    </row>
    <row r="21" spans="2:2" ht="15.75" customHeight="1">
      <c r="B21" s="5" t="s">
        <v>567</v>
      </c>
    </row>
    <row r="22" spans="2:2" ht="15.75" customHeight="1">
      <c r="B22" s="5" t="s">
        <v>570</v>
      </c>
    </row>
    <row r="23" spans="2:2" ht="15.75" customHeight="1">
      <c r="B23" s="5" t="s">
        <v>573</v>
      </c>
    </row>
    <row r="24" spans="2:2" ht="15.75" customHeight="1">
      <c r="B24" s="5" t="s">
        <v>557</v>
      </c>
    </row>
    <row r="25" spans="2:2" ht="15.75" customHeight="1">
      <c r="B25" s="5" t="s">
        <v>558</v>
      </c>
    </row>
    <row r="26" spans="2:2" ht="15.75" customHeight="1">
      <c r="B26" s="5" t="s">
        <v>559</v>
      </c>
    </row>
    <row r="27" spans="2:2" ht="15.75" customHeight="1">
      <c r="B27" s="5" t="s">
        <v>280</v>
      </c>
    </row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3">
    <mergeCell ref="L13:P13"/>
    <mergeCell ref="L7:P7"/>
    <mergeCell ref="L8:P8"/>
    <mergeCell ref="L9:P9"/>
    <mergeCell ref="L10:P10"/>
    <mergeCell ref="L11:P11"/>
    <mergeCell ref="L12:P12"/>
    <mergeCell ref="B2:C2"/>
    <mergeCell ref="D2:G2"/>
    <mergeCell ref="B3:C3"/>
    <mergeCell ref="D3:G3"/>
    <mergeCell ref="B4:C5"/>
    <mergeCell ref="D4:G5"/>
  </mergeCells>
  <phoneticPr fontId="2"/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7245-FEF9-49F5-BAC9-5AEF9BA39A70}">
  <sheetPr>
    <outlinePr summaryBelow="0" summaryRight="0"/>
  </sheetPr>
  <dimension ref="A1:Q977"/>
  <sheetViews>
    <sheetView zoomScale="115" zoomScaleNormal="115" workbookViewId="0">
      <selection activeCell="J11" sqref="J11"/>
    </sheetView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154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153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159</v>
      </c>
      <c r="D9" s="14" t="s">
        <v>155</v>
      </c>
      <c r="E9" s="25"/>
      <c r="F9" s="25"/>
      <c r="G9" s="14" t="s">
        <v>53</v>
      </c>
      <c r="H9" s="25" t="s">
        <v>52</v>
      </c>
      <c r="I9" s="14"/>
      <c r="J9" s="25" t="s">
        <v>52</v>
      </c>
      <c r="K9" s="14"/>
      <c r="L9" s="59"/>
      <c r="M9" s="57"/>
      <c r="N9" s="57"/>
      <c r="O9" s="57"/>
      <c r="P9" s="58"/>
      <c r="Q9" s="4"/>
    </row>
    <row r="10" spans="1:17" ht="15.75" customHeight="1">
      <c r="B10" s="24">
        <f t="shared" ref="B10:B12" si="0">ROW()-7</f>
        <v>3</v>
      </c>
      <c r="C10" s="14" t="s">
        <v>160</v>
      </c>
      <c r="D10" s="14" t="s">
        <v>156</v>
      </c>
      <c r="E10" s="25"/>
      <c r="F10" s="14"/>
      <c r="G10" s="14" t="s">
        <v>53</v>
      </c>
      <c r="H10" s="25" t="s">
        <v>52</v>
      </c>
      <c r="I10" s="14"/>
      <c r="J10" s="25" t="s">
        <v>52</v>
      </c>
      <c r="K10" s="14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161</v>
      </c>
      <c r="D11" s="20" t="s">
        <v>157</v>
      </c>
      <c r="E11" s="29"/>
      <c r="F11" s="25"/>
      <c r="G11" s="20" t="s">
        <v>53</v>
      </c>
      <c r="H11" s="29"/>
      <c r="I11" s="25"/>
      <c r="J11" s="25"/>
      <c r="K11" s="20"/>
      <c r="L11" s="55" t="s">
        <v>163</v>
      </c>
      <c r="M11" s="48"/>
      <c r="N11" s="48"/>
      <c r="O11" s="48"/>
      <c r="P11" s="49"/>
      <c r="Q11" s="4"/>
    </row>
    <row r="12" spans="1:17" ht="15.75" customHeight="1">
      <c r="B12" s="24">
        <f t="shared" si="0"/>
        <v>5</v>
      </c>
      <c r="C12" s="20" t="s">
        <v>162</v>
      </c>
      <c r="D12" s="20" t="s">
        <v>158</v>
      </c>
      <c r="E12" s="29"/>
      <c r="F12" s="25"/>
      <c r="G12" s="20" t="s">
        <v>136</v>
      </c>
      <c r="H12" s="29"/>
      <c r="I12" s="25" t="b">
        <v>1</v>
      </c>
      <c r="J12" s="25"/>
      <c r="K12" s="20"/>
      <c r="L12" s="55"/>
      <c r="M12" s="48"/>
      <c r="N12" s="48"/>
      <c r="O12" s="48"/>
      <c r="P12" s="49"/>
      <c r="Q12" s="4"/>
    </row>
    <row r="13" spans="1:17" ht="15.75" customHeight="1">
      <c r="Q13" s="4"/>
    </row>
    <row r="14" spans="1:17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0"/>
    </row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2">
    <mergeCell ref="L12:P12"/>
    <mergeCell ref="B2:C2"/>
    <mergeCell ref="D2:G2"/>
    <mergeCell ref="B3:C3"/>
    <mergeCell ref="D3:G3"/>
    <mergeCell ref="B4:C5"/>
    <mergeCell ref="D4:G5"/>
    <mergeCell ref="L7:P7"/>
    <mergeCell ref="L8:P8"/>
    <mergeCell ref="L9:P9"/>
    <mergeCell ref="L10:P10"/>
    <mergeCell ref="L11:P11"/>
  </mergeCells>
  <phoneticPr fontId="2"/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5BCE-E3D5-4B75-8AB3-305D89A44088}">
  <sheetPr>
    <outlinePr summaryBelow="0" summaryRight="0"/>
  </sheetPr>
  <dimension ref="A1:Q976"/>
  <sheetViews>
    <sheetView zoomScale="115" zoomScaleNormal="115" workbookViewId="0"/>
  </sheetViews>
  <sheetFormatPr defaultColWidth="1.3046875" defaultRowHeight="15" customHeight="1"/>
  <cols>
    <col min="1" max="1" width="1.3046875" style="5"/>
    <col min="2" max="2" width="4" style="5" bestFit="1" customWidth="1"/>
    <col min="3" max="3" width="17.3046875" style="5" bestFit="1" customWidth="1"/>
    <col min="4" max="4" width="19.3046875" style="5" bestFit="1" customWidth="1"/>
    <col min="5" max="6" width="8.84375" style="5" bestFit="1" customWidth="1"/>
    <col min="7" max="7" width="26.84375" style="5" bestFit="1" customWidth="1"/>
    <col min="8" max="8" width="7.765625" style="5" bestFit="1" customWidth="1"/>
    <col min="9" max="9" width="10.69140625" style="5" bestFit="1" customWidth="1"/>
    <col min="10" max="10" width="16.69140625" style="5" bestFit="1" customWidth="1"/>
    <col min="11" max="11" width="28.765625" style="5" bestFit="1" customWidth="1"/>
    <col min="12" max="12" width="1.3046875" style="5"/>
    <col min="13" max="13" width="20" style="5" customWidth="1"/>
    <col min="14" max="16384" width="1.3046875" style="5"/>
  </cols>
  <sheetData>
    <row r="1" spans="1:17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75" customHeight="1">
      <c r="A2" s="6"/>
      <c r="B2" s="60" t="s">
        <v>8</v>
      </c>
      <c r="C2" s="58"/>
      <c r="D2" s="55" t="s">
        <v>166</v>
      </c>
      <c r="E2" s="48"/>
      <c r="F2" s="48"/>
      <c r="G2" s="48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.75" customHeight="1">
      <c r="A3" s="6"/>
      <c r="B3" s="60" t="s">
        <v>9</v>
      </c>
      <c r="C3" s="58"/>
      <c r="D3" s="61" t="s">
        <v>165</v>
      </c>
      <c r="E3" s="57"/>
      <c r="F3" s="57"/>
      <c r="G3" s="57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15.75" customHeight="1">
      <c r="A4" s="6"/>
      <c r="B4" s="62" t="s">
        <v>11</v>
      </c>
      <c r="C4" s="63"/>
      <c r="D4" s="64"/>
      <c r="E4" s="65"/>
      <c r="F4" s="65"/>
      <c r="G4" s="65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15.75" customHeight="1">
      <c r="A5" s="6"/>
      <c r="B5" s="57"/>
      <c r="C5" s="58"/>
      <c r="D5" s="57"/>
      <c r="E5" s="57"/>
      <c r="F5" s="57"/>
      <c r="G5" s="57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7" ht="15.75" customHeight="1">
      <c r="A6" s="1"/>
      <c r="B6" s="2"/>
      <c r="C6" s="2"/>
      <c r="D6" s="2"/>
      <c r="E6" s="2"/>
      <c r="F6" s="2"/>
      <c r="G6" s="2"/>
      <c r="H6" s="27"/>
      <c r="I6" s="2"/>
      <c r="J6" s="2"/>
      <c r="K6" s="2"/>
      <c r="L6" s="2"/>
      <c r="M6" s="2"/>
      <c r="N6" s="2"/>
      <c r="O6" s="2"/>
      <c r="P6" s="2"/>
      <c r="Q6" s="4"/>
    </row>
    <row r="7" spans="1:17" ht="15.75" customHeight="1">
      <c r="A7" s="6"/>
      <c r="B7" s="22" t="s">
        <v>12</v>
      </c>
      <c r="C7" s="22" t="s">
        <v>7</v>
      </c>
      <c r="D7" s="22" t="s">
        <v>6</v>
      </c>
      <c r="E7" s="22" t="s">
        <v>13</v>
      </c>
      <c r="F7" s="22" t="s">
        <v>14</v>
      </c>
      <c r="G7" s="23" t="s">
        <v>15</v>
      </c>
      <c r="H7" s="28" t="s">
        <v>16</v>
      </c>
      <c r="I7" s="22" t="s">
        <v>17</v>
      </c>
      <c r="J7" s="22" t="s">
        <v>18</v>
      </c>
      <c r="K7" s="22" t="s">
        <v>19</v>
      </c>
      <c r="L7" s="56" t="s">
        <v>20</v>
      </c>
      <c r="M7" s="57"/>
      <c r="N7" s="57"/>
      <c r="O7" s="57"/>
      <c r="P7" s="58"/>
      <c r="Q7" s="4"/>
    </row>
    <row r="8" spans="1:17" ht="15.75" customHeight="1">
      <c r="A8" s="6"/>
      <c r="B8" s="24">
        <f>ROW()-7</f>
        <v>1</v>
      </c>
      <c r="C8" s="20" t="s">
        <v>21</v>
      </c>
      <c r="D8" s="20" t="s">
        <v>45</v>
      </c>
      <c r="E8" s="29"/>
      <c r="F8" s="25" t="s">
        <v>23</v>
      </c>
      <c r="G8" s="20" t="s">
        <v>50</v>
      </c>
      <c r="H8" s="29"/>
      <c r="I8" s="25"/>
      <c r="J8" s="25" t="s">
        <v>52</v>
      </c>
      <c r="K8" s="20"/>
      <c r="L8" s="59"/>
      <c r="M8" s="57"/>
      <c r="N8" s="57"/>
      <c r="O8" s="57"/>
      <c r="P8" s="58"/>
      <c r="Q8" s="4"/>
    </row>
    <row r="9" spans="1:17" ht="15.75" customHeight="1">
      <c r="A9" s="6"/>
      <c r="B9" s="24">
        <f>ROW()-7</f>
        <v>2</v>
      </c>
      <c r="C9" s="14" t="s">
        <v>170</v>
      </c>
      <c r="D9" s="14" t="s">
        <v>167</v>
      </c>
      <c r="E9" s="25" t="s">
        <v>52</v>
      </c>
      <c r="F9" s="25"/>
      <c r="G9" s="14" t="s">
        <v>66</v>
      </c>
      <c r="H9" s="25" t="s">
        <v>52</v>
      </c>
      <c r="I9" s="14"/>
      <c r="J9" s="25" t="s">
        <v>52</v>
      </c>
      <c r="K9" s="14" t="s">
        <v>173</v>
      </c>
      <c r="L9" s="59"/>
      <c r="M9" s="57"/>
      <c r="N9" s="57"/>
      <c r="O9" s="57"/>
      <c r="P9" s="58"/>
      <c r="Q9" s="4"/>
    </row>
    <row r="10" spans="1:17" ht="15.75" customHeight="1">
      <c r="B10" s="24">
        <f t="shared" ref="B10:B11" si="0">ROW()-7</f>
        <v>3</v>
      </c>
      <c r="C10" s="14" t="s">
        <v>171</v>
      </c>
      <c r="D10" s="14" t="s">
        <v>168</v>
      </c>
      <c r="E10" s="25"/>
      <c r="F10" s="14"/>
      <c r="G10" s="14" t="s">
        <v>133</v>
      </c>
      <c r="H10" s="25" t="s">
        <v>52</v>
      </c>
      <c r="I10" s="14"/>
      <c r="J10" s="25" t="s">
        <v>52</v>
      </c>
      <c r="K10" s="14"/>
      <c r="L10" s="55"/>
      <c r="M10" s="48"/>
      <c r="N10" s="48"/>
      <c r="O10" s="48"/>
      <c r="P10" s="49"/>
      <c r="Q10" s="4"/>
    </row>
    <row r="11" spans="1:17" ht="15.75" customHeight="1">
      <c r="B11" s="24">
        <f t="shared" si="0"/>
        <v>4</v>
      </c>
      <c r="C11" s="20" t="s">
        <v>172</v>
      </c>
      <c r="D11" s="20" t="s">
        <v>169</v>
      </c>
      <c r="E11" s="29"/>
      <c r="F11" s="25"/>
      <c r="G11" s="20" t="s">
        <v>134</v>
      </c>
      <c r="H11" s="29"/>
      <c r="I11" s="25"/>
      <c r="J11" s="25" t="s">
        <v>52</v>
      </c>
      <c r="K11" s="20"/>
      <c r="L11" s="55"/>
      <c r="M11" s="48"/>
      <c r="N11" s="48"/>
      <c r="O11" s="48"/>
      <c r="P11" s="49"/>
      <c r="Q11" s="4"/>
    </row>
    <row r="12" spans="1:17" ht="15.75" customHeight="1">
      <c r="Q12" s="4"/>
    </row>
    <row r="13" spans="1:17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0"/>
    </row>
    <row r="14" spans="1:17" ht="15.75" customHeight="1"/>
    <row r="15" spans="1:17" ht="15.75" customHeight="1"/>
    <row r="16" spans="1:1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1">
    <mergeCell ref="B2:C2"/>
    <mergeCell ref="D2:G2"/>
    <mergeCell ref="B3:C3"/>
    <mergeCell ref="D3:G3"/>
    <mergeCell ref="B4:C5"/>
    <mergeCell ref="D4:G5"/>
    <mergeCell ref="L7:P7"/>
    <mergeCell ref="L8:P8"/>
    <mergeCell ref="L9:P9"/>
    <mergeCell ref="L10:P10"/>
    <mergeCell ref="L11:P11"/>
  </mergeCells>
  <phoneticPr fontId="2"/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3377-A509-45CD-A3D4-0EBD9AE87CE6}">
  <dimension ref="A1:A107"/>
  <sheetViews>
    <sheetView zoomScale="145" zoomScaleNormal="145" workbookViewId="0"/>
  </sheetViews>
  <sheetFormatPr defaultRowHeight="12.45"/>
  <sheetData>
    <row r="1" spans="1:1">
      <c r="A1" s="83" t="s">
        <v>329</v>
      </c>
    </row>
    <row r="2" spans="1:1">
      <c r="A2" s="82" t="s">
        <v>330</v>
      </c>
    </row>
    <row r="3" spans="1:1">
      <c r="A3" s="82" t="s">
        <v>331</v>
      </c>
    </row>
    <row r="4" spans="1:1">
      <c r="A4" s="82" t="s">
        <v>332</v>
      </c>
    </row>
    <row r="5" spans="1:1">
      <c r="A5" s="82" t="s">
        <v>333</v>
      </c>
    </row>
    <row r="6" spans="1:1">
      <c r="A6" s="82" t="s">
        <v>334</v>
      </c>
    </row>
    <row r="7" spans="1:1">
      <c r="A7" s="82" t="s">
        <v>335</v>
      </c>
    </row>
    <row r="8" spans="1:1">
      <c r="A8" s="82" t="s">
        <v>336</v>
      </c>
    </row>
    <row r="9" spans="1:1">
      <c r="A9" s="82" t="s">
        <v>337</v>
      </c>
    </row>
    <row r="10" spans="1:1">
      <c r="A10" s="82" t="s">
        <v>338</v>
      </c>
    </row>
    <row r="11" spans="1:1">
      <c r="A11" s="82" t="s">
        <v>339</v>
      </c>
    </row>
    <row r="12" spans="1:1">
      <c r="A12" s="82" t="s">
        <v>340</v>
      </c>
    </row>
    <row r="13" spans="1:1">
      <c r="A13" s="82" t="s">
        <v>341</v>
      </c>
    </row>
    <row r="14" spans="1:1">
      <c r="A14" s="82" t="s">
        <v>342</v>
      </c>
    </row>
    <row r="15" spans="1:1">
      <c r="A15" s="82" t="s">
        <v>343</v>
      </c>
    </row>
    <row r="16" spans="1:1">
      <c r="A16" s="84" t="s">
        <v>344</v>
      </c>
    </row>
    <row r="17" spans="1:1">
      <c r="A17" s="82" t="s">
        <v>345</v>
      </c>
    </row>
    <row r="18" spans="1:1">
      <c r="A18" s="82" t="s">
        <v>346</v>
      </c>
    </row>
    <row r="19" spans="1:1">
      <c r="A19" s="82" t="s">
        <v>347</v>
      </c>
    </row>
    <row r="20" spans="1:1">
      <c r="A20" s="82" t="s">
        <v>348</v>
      </c>
    </row>
    <row r="21" spans="1:1">
      <c r="A21" s="82" t="s">
        <v>349</v>
      </c>
    </row>
    <row r="22" spans="1:1">
      <c r="A22" s="82" t="s">
        <v>350</v>
      </c>
    </row>
    <row r="23" spans="1:1">
      <c r="A23" s="82" t="s">
        <v>351</v>
      </c>
    </row>
    <row r="24" spans="1:1">
      <c r="A24" s="82" t="s">
        <v>352</v>
      </c>
    </row>
    <row r="25" spans="1:1">
      <c r="A25" s="82" t="s">
        <v>353</v>
      </c>
    </row>
    <row r="26" spans="1:1">
      <c r="A26" s="82" t="s">
        <v>354</v>
      </c>
    </row>
    <row r="27" spans="1:1">
      <c r="A27" s="85"/>
    </row>
    <row r="28" spans="1:1">
      <c r="A28" s="82" t="s">
        <v>355</v>
      </c>
    </row>
    <row r="29" spans="1:1">
      <c r="A29" s="82" t="s">
        <v>356</v>
      </c>
    </row>
    <row r="30" spans="1:1">
      <c r="A30" s="82" t="s">
        <v>357</v>
      </c>
    </row>
    <row r="31" spans="1:1">
      <c r="A31" s="82" t="s">
        <v>358</v>
      </c>
    </row>
    <row r="32" spans="1:1">
      <c r="A32" s="82" t="s">
        <v>359</v>
      </c>
    </row>
    <row r="33" spans="1:1">
      <c r="A33" s="82" t="s">
        <v>360</v>
      </c>
    </row>
    <row r="34" spans="1:1">
      <c r="A34" s="82" t="s">
        <v>361</v>
      </c>
    </row>
    <row r="35" spans="1:1">
      <c r="A35" s="82" t="s">
        <v>362</v>
      </c>
    </row>
    <row r="36" spans="1:1">
      <c r="A36" s="82" t="s">
        <v>363</v>
      </c>
    </row>
    <row r="37" spans="1:1">
      <c r="A37" s="82" t="s">
        <v>364</v>
      </c>
    </row>
    <row r="38" spans="1:1">
      <c r="A38" s="82" t="s">
        <v>365</v>
      </c>
    </row>
    <row r="39" spans="1:1">
      <c r="A39" s="82" t="s">
        <v>366</v>
      </c>
    </row>
    <row r="40" spans="1:1">
      <c r="A40" s="82" t="s">
        <v>367</v>
      </c>
    </row>
    <row r="41" spans="1:1">
      <c r="A41" s="82" t="s">
        <v>368</v>
      </c>
    </row>
    <row r="42" spans="1:1">
      <c r="A42" s="82" t="s">
        <v>369</v>
      </c>
    </row>
    <row r="43" spans="1:1">
      <c r="A43" s="82" t="s">
        <v>370</v>
      </c>
    </row>
    <row r="44" spans="1:1">
      <c r="A44" s="82" t="s">
        <v>371</v>
      </c>
    </row>
    <row r="45" spans="1:1">
      <c r="A45" s="82" t="s">
        <v>372</v>
      </c>
    </row>
    <row r="46" spans="1:1">
      <c r="A46" s="82" t="s">
        <v>373</v>
      </c>
    </row>
    <row r="47" spans="1:1">
      <c r="A47" s="82" t="s">
        <v>374</v>
      </c>
    </row>
    <row r="48" spans="1:1">
      <c r="A48" s="82" t="s">
        <v>375</v>
      </c>
    </row>
    <row r="49" spans="1:1">
      <c r="A49" s="82" t="s">
        <v>376</v>
      </c>
    </row>
    <row r="50" spans="1:1">
      <c r="A50" s="82" t="s">
        <v>377</v>
      </c>
    </row>
    <row r="51" spans="1:1">
      <c r="A51" s="82" t="s">
        <v>378</v>
      </c>
    </row>
    <row r="52" spans="1:1">
      <c r="A52" s="82" t="s">
        <v>379</v>
      </c>
    </row>
    <row r="53" spans="1:1">
      <c r="A53" s="82" t="s">
        <v>380</v>
      </c>
    </row>
    <row r="54" spans="1:1">
      <c r="A54" s="82" t="s">
        <v>381</v>
      </c>
    </row>
    <row r="55" spans="1:1">
      <c r="A55" s="85"/>
    </row>
    <row r="56" spans="1:1">
      <c r="A56" s="82" t="s">
        <v>382</v>
      </c>
    </row>
    <row r="57" spans="1:1">
      <c r="A57" s="82" t="s">
        <v>383</v>
      </c>
    </row>
    <row r="58" spans="1:1">
      <c r="A58" s="82" t="s">
        <v>384</v>
      </c>
    </row>
    <row r="59" spans="1:1">
      <c r="A59" s="82" t="s">
        <v>385</v>
      </c>
    </row>
    <row r="60" spans="1:1">
      <c r="A60" s="82" t="s">
        <v>386</v>
      </c>
    </row>
    <row r="61" spans="1:1">
      <c r="A61" s="82" t="s">
        <v>387</v>
      </c>
    </row>
    <row r="62" spans="1:1">
      <c r="A62" s="82" t="s">
        <v>388</v>
      </c>
    </row>
    <row r="63" spans="1:1">
      <c r="A63" s="82" t="s">
        <v>389</v>
      </c>
    </row>
    <row r="64" spans="1:1">
      <c r="A64" s="85"/>
    </row>
    <row r="65" spans="1:1">
      <c r="A65" s="82" t="s">
        <v>390</v>
      </c>
    </row>
    <row r="66" spans="1:1">
      <c r="A66" s="82" t="s">
        <v>391</v>
      </c>
    </row>
    <row r="67" spans="1:1">
      <c r="A67" s="82" t="s">
        <v>392</v>
      </c>
    </row>
    <row r="68" spans="1:1">
      <c r="A68" s="85"/>
    </row>
    <row r="69" spans="1:1">
      <c r="A69" s="82" t="s">
        <v>393</v>
      </c>
    </row>
    <row r="70" spans="1:1">
      <c r="A70" s="82" t="s">
        <v>394</v>
      </c>
    </row>
    <row r="71" spans="1:1">
      <c r="A71" s="82" t="s">
        <v>395</v>
      </c>
    </row>
    <row r="72" spans="1:1">
      <c r="A72" s="82" t="s">
        <v>396</v>
      </c>
    </row>
    <row r="73" spans="1:1">
      <c r="A73" s="82" t="s">
        <v>397</v>
      </c>
    </row>
    <row r="74" spans="1:1">
      <c r="A74" s="82" t="s">
        <v>398</v>
      </c>
    </row>
    <row r="75" spans="1:1">
      <c r="A75" s="82" t="s">
        <v>399</v>
      </c>
    </row>
    <row r="76" spans="1:1">
      <c r="A76" s="82" t="s">
        <v>400</v>
      </c>
    </row>
    <row r="77" spans="1:1">
      <c r="A77" s="82" t="s">
        <v>401</v>
      </c>
    </row>
    <row r="78" spans="1:1">
      <c r="A78" s="82" t="s">
        <v>402</v>
      </c>
    </row>
    <row r="79" spans="1:1">
      <c r="A79" s="82" t="s">
        <v>398</v>
      </c>
    </row>
    <row r="80" spans="1:1">
      <c r="A80" s="82" t="s">
        <v>403</v>
      </c>
    </row>
    <row r="81" spans="1:1">
      <c r="A81" s="85"/>
    </row>
    <row r="82" spans="1:1">
      <c r="A82" s="82" t="s">
        <v>404</v>
      </c>
    </row>
    <row r="83" spans="1:1">
      <c r="A83" s="82" t="s">
        <v>356</v>
      </c>
    </row>
    <row r="84" spans="1:1">
      <c r="A84" s="82" t="s">
        <v>405</v>
      </c>
    </row>
    <row r="85" spans="1:1">
      <c r="A85" s="82" t="s">
        <v>366</v>
      </c>
    </row>
    <row r="86" spans="1:1">
      <c r="A86" s="82" t="s">
        <v>406</v>
      </c>
    </row>
    <row r="87" spans="1:1">
      <c r="A87" s="82" t="s">
        <v>407</v>
      </c>
    </row>
    <row r="88" spans="1:1">
      <c r="A88" s="82" t="s">
        <v>408</v>
      </c>
    </row>
    <row r="89" spans="1:1">
      <c r="A89" s="82" t="s">
        <v>409</v>
      </c>
    </row>
    <row r="90" spans="1:1">
      <c r="A90" s="82" t="s">
        <v>392</v>
      </c>
    </row>
    <row r="91" spans="1:1">
      <c r="A91" s="85"/>
    </row>
    <row r="92" spans="1:1">
      <c r="A92" s="82" t="s">
        <v>410</v>
      </c>
    </row>
    <row r="93" spans="1:1">
      <c r="A93" s="82" t="s">
        <v>411</v>
      </c>
    </row>
    <row r="94" spans="1:1">
      <c r="A94" s="82" t="s">
        <v>412</v>
      </c>
    </row>
    <row r="95" spans="1:1">
      <c r="A95" s="82" t="s">
        <v>413</v>
      </c>
    </row>
    <row r="96" spans="1:1">
      <c r="A96" s="82" t="s">
        <v>414</v>
      </c>
    </row>
    <row r="97" spans="1:1">
      <c r="A97" s="82" t="s">
        <v>392</v>
      </c>
    </row>
    <row r="98" spans="1:1">
      <c r="A98" s="85"/>
    </row>
    <row r="99" spans="1:1">
      <c r="A99" s="82" t="s">
        <v>415</v>
      </c>
    </row>
    <row r="100" spans="1:1">
      <c r="A100" s="82" t="s">
        <v>416</v>
      </c>
    </row>
    <row r="101" spans="1:1">
      <c r="A101" s="85"/>
    </row>
    <row r="102" spans="1:1">
      <c r="A102" s="82" t="s">
        <v>417</v>
      </c>
    </row>
    <row r="103" spans="1:1">
      <c r="A103" s="82" t="s">
        <v>418</v>
      </c>
    </row>
    <row r="104" spans="1:1">
      <c r="A104" s="82" t="s">
        <v>419</v>
      </c>
    </row>
    <row r="105" spans="1:1">
      <c r="A105" s="82" t="s">
        <v>420</v>
      </c>
    </row>
    <row r="106" spans="1:1">
      <c r="A106" s="83" t="s">
        <v>421</v>
      </c>
    </row>
    <row r="107" spans="1:1">
      <c r="A107" s="86" t="s">
        <v>422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3B37-F36B-48DA-ABFF-0BF913D8D8C5}">
  <dimension ref="A1:A121"/>
  <sheetViews>
    <sheetView workbookViewId="0"/>
  </sheetViews>
  <sheetFormatPr defaultRowHeight="12.45"/>
  <sheetData>
    <row r="1" spans="1:1">
      <c r="A1" s="83" t="s">
        <v>463</v>
      </c>
    </row>
    <row r="2" spans="1:1">
      <c r="A2" s="82" t="s">
        <v>423</v>
      </c>
    </row>
    <row r="3" spans="1:1">
      <c r="A3" s="82" t="s">
        <v>330</v>
      </c>
    </row>
    <row r="4" spans="1:1">
      <c r="A4" s="82" t="s">
        <v>331</v>
      </c>
    </row>
    <row r="5" spans="1:1">
      <c r="A5" s="82" t="s">
        <v>334</v>
      </c>
    </row>
    <row r="6" spans="1:1">
      <c r="A6" s="82" t="s">
        <v>335</v>
      </c>
    </row>
    <row r="7" spans="1:1">
      <c r="A7" s="82" t="s">
        <v>336</v>
      </c>
    </row>
    <row r="8" spans="1:1">
      <c r="A8" s="82" t="s">
        <v>337</v>
      </c>
    </row>
    <row r="9" spans="1:1">
      <c r="A9" s="82" t="s">
        <v>338</v>
      </c>
    </row>
    <row r="10" spans="1:1">
      <c r="A10" s="82" t="s">
        <v>339</v>
      </c>
    </row>
    <row r="11" spans="1:1">
      <c r="A11" s="82" t="s">
        <v>340</v>
      </c>
    </row>
    <row r="12" spans="1:1">
      <c r="A12" s="82" t="s">
        <v>341</v>
      </c>
    </row>
    <row r="13" spans="1:1">
      <c r="A13" s="82" t="s">
        <v>342</v>
      </c>
    </row>
    <row r="14" spans="1:1">
      <c r="A14" s="82" t="s">
        <v>343</v>
      </c>
    </row>
    <row r="15" spans="1:1">
      <c r="A15" s="84" t="s">
        <v>344</v>
      </c>
    </row>
    <row r="16" spans="1:1">
      <c r="A16" s="82" t="s">
        <v>424</v>
      </c>
    </row>
    <row r="17" spans="1:1">
      <c r="A17" s="82" t="s">
        <v>346</v>
      </c>
    </row>
    <row r="18" spans="1:1">
      <c r="A18" s="82" t="s">
        <v>347</v>
      </c>
    </row>
    <row r="19" spans="1:1">
      <c r="A19" s="82" t="s">
        <v>425</v>
      </c>
    </row>
    <row r="20" spans="1:1">
      <c r="A20" s="82" t="s">
        <v>349</v>
      </c>
    </row>
    <row r="21" spans="1:1">
      <c r="A21" s="82" t="s">
        <v>426</v>
      </c>
    </row>
    <row r="22" spans="1:1">
      <c r="A22" s="82" t="s">
        <v>350</v>
      </c>
    </row>
    <row r="23" spans="1:1">
      <c r="A23" s="82" t="s">
        <v>351</v>
      </c>
    </row>
    <row r="24" spans="1:1">
      <c r="A24" s="82" t="s">
        <v>352</v>
      </c>
    </row>
    <row r="25" spans="1:1">
      <c r="A25" s="82" t="s">
        <v>353</v>
      </c>
    </row>
    <row r="26" spans="1:1">
      <c r="A26" s="82" t="s">
        <v>354</v>
      </c>
    </row>
    <row r="27" spans="1:1">
      <c r="A27" s="82" t="s">
        <v>355</v>
      </c>
    </row>
    <row r="28" spans="1:1">
      <c r="A28" s="82" t="s">
        <v>356</v>
      </c>
    </row>
    <row r="29" spans="1:1">
      <c r="A29" s="82" t="s">
        <v>357</v>
      </c>
    </row>
    <row r="30" spans="1:1">
      <c r="A30" s="82" t="s">
        <v>358</v>
      </c>
    </row>
    <row r="31" spans="1:1">
      <c r="A31" s="82" t="s">
        <v>359</v>
      </c>
    </row>
    <row r="32" spans="1:1">
      <c r="A32" s="82" t="s">
        <v>360</v>
      </c>
    </row>
    <row r="33" spans="1:1">
      <c r="A33" s="82" t="s">
        <v>361</v>
      </c>
    </row>
    <row r="34" spans="1:1">
      <c r="A34" s="82" t="s">
        <v>362</v>
      </c>
    </row>
    <row r="35" spans="1:1">
      <c r="A35" s="82" t="s">
        <v>363</v>
      </c>
    </row>
    <row r="36" spans="1:1">
      <c r="A36" s="82" t="s">
        <v>364</v>
      </c>
    </row>
    <row r="37" spans="1:1">
      <c r="A37" s="82" t="s">
        <v>365</v>
      </c>
    </row>
    <row r="38" spans="1:1">
      <c r="A38" s="82" t="s">
        <v>366</v>
      </c>
    </row>
    <row r="39" spans="1:1">
      <c r="A39" s="82" t="s">
        <v>367</v>
      </c>
    </row>
    <row r="40" spans="1:1">
      <c r="A40" s="82" t="s">
        <v>368</v>
      </c>
    </row>
    <row r="41" spans="1:1">
      <c r="A41" s="82" t="s">
        <v>369</v>
      </c>
    </row>
    <row r="42" spans="1:1">
      <c r="A42" s="82" t="s">
        <v>370</v>
      </c>
    </row>
    <row r="43" spans="1:1">
      <c r="A43" s="82" t="s">
        <v>371</v>
      </c>
    </row>
    <row r="44" spans="1:1">
      <c r="A44" s="82" t="s">
        <v>372</v>
      </c>
    </row>
    <row r="45" spans="1:1">
      <c r="A45" s="82" t="s">
        <v>373</v>
      </c>
    </row>
    <row r="46" spans="1:1">
      <c r="A46" s="82" t="s">
        <v>374</v>
      </c>
    </row>
    <row r="47" spans="1:1">
      <c r="A47" s="82" t="s">
        <v>375</v>
      </c>
    </row>
    <row r="48" spans="1:1">
      <c r="A48" s="82" t="s">
        <v>376</v>
      </c>
    </row>
    <row r="49" spans="1:1">
      <c r="A49" s="82" t="s">
        <v>377</v>
      </c>
    </row>
    <row r="50" spans="1:1">
      <c r="A50" s="82" t="s">
        <v>378</v>
      </c>
    </row>
    <row r="51" spans="1:1">
      <c r="A51" s="82" t="s">
        <v>379</v>
      </c>
    </row>
    <row r="52" spans="1:1">
      <c r="A52" s="82" t="s">
        <v>380</v>
      </c>
    </row>
    <row r="53" spans="1:1">
      <c r="A53" s="82" t="s">
        <v>381</v>
      </c>
    </row>
    <row r="54" spans="1:1">
      <c r="A54" s="85"/>
    </row>
    <row r="55" spans="1:1">
      <c r="A55" s="82" t="s">
        <v>382</v>
      </c>
    </row>
    <row r="56" spans="1:1">
      <c r="A56" s="82" t="s">
        <v>383</v>
      </c>
    </row>
    <row r="57" spans="1:1">
      <c r="A57" s="82" t="s">
        <v>384</v>
      </c>
    </row>
    <row r="58" spans="1:1">
      <c r="A58" s="82" t="s">
        <v>385</v>
      </c>
    </row>
    <row r="59" spans="1:1">
      <c r="A59" s="82" t="s">
        <v>386</v>
      </c>
    </row>
    <row r="60" spans="1:1">
      <c r="A60" s="82" t="s">
        <v>387</v>
      </c>
    </row>
    <row r="61" spans="1:1">
      <c r="A61" s="82" t="s">
        <v>388</v>
      </c>
    </row>
    <row r="62" spans="1:1">
      <c r="A62" s="82" t="s">
        <v>389</v>
      </c>
    </row>
    <row r="63" spans="1:1">
      <c r="A63" s="85"/>
    </row>
    <row r="64" spans="1:1">
      <c r="A64" s="82" t="s">
        <v>390</v>
      </c>
    </row>
    <row r="65" spans="1:1">
      <c r="A65" s="82" t="s">
        <v>391</v>
      </c>
    </row>
    <row r="66" spans="1:1">
      <c r="A66" s="82" t="s">
        <v>392</v>
      </c>
    </row>
    <row r="67" spans="1:1">
      <c r="A67" s="85"/>
    </row>
    <row r="68" spans="1:1">
      <c r="A68" s="82" t="s">
        <v>427</v>
      </c>
    </row>
    <row r="69" spans="1:1">
      <c r="A69" s="82" t="s">
        <v>428</v>
      </c>
    </row>
    <row r="70" spans="1:1">
      <c r="A70" s="82" t="s">
        <v>429</v>
      </c>
    </row>
    <row r="71" spans="1:1">
      <c r="A71" s="82" t="s">
        <v>430</v>
      </c>
    </row>
    <row r="72" spans="1:1">
      <c r="A72" s="82" t="s">
        <v>431</v>
      </c>
    </row>
    <row r="73" spans="1:1">
      <c r="A73" s="82" t="s">
        <v>432</v>
      </c>
    </row>
    <row r="74" spans="1:1">
      <c r="A74" s="82" t="s">
        <v>433</v>
      </c>
    </row>
    <row r="75" spans="1:1">
      <c r="A75" s="82" t="s">
        <v>434</v>
      </c>
    </row>
    <row r="76" spans="1:1">
      <c r="A76" s="82" t="s">
        <v>435</v>
      </c>
    </row>
    <row r="77" spans="1:1">
      <c r="A77" s="82" t="s">
        <v>436</v>
      </c>
    </row>
    <row r="78" spans="1:1">
      <c r="A78" s="82" t="s">
        <v>437</v>
      </c>
    </row>
    <row r="79" spans="1:1">
      <c r="A79" s="82" t="s">
        <v>438</v>
      </c>
    </row>
    <row r="80" spans="1:1">
      <c r="A80" s="82" t="s">
        <v>439</v>
      </c>
    </row>
    <row r="81" spans="1:1">
      <c r="A81" s="82" t="s">
        <v>440</v>
      </c>
    </row>
    <row r="82" spans="1:1">
      <c r="A82" s="82" t="s">
        <v>441</v>
      </c>
    </row>
    <row r="83" spans="1:1">
      <c r="A83" s="82" t="s">
        <v>442</v>
      </c>
    </row>
    <row r="84" spans="1:1">
      <c r="A84" s="85"/>
    </row>
    <row r="85" spans="1:1">
      <c r="A85" s="82" t="s">
        <v>443</v>
      </c>
    </row>
    <row r="86" spans="1:1">
      <c r="A86" s="82" t="s">
        <v>444</v>
      </c>
    </row>
    <row r="87" spans="1:1">
      <c r="A87" s="82" t="s">
        <v>445</v>
      </c>
    </row>
    <row r="88" spans="1:1">
      <c r="A88" s="82" t="s">
        <v>446</v>
      </c>
    </row>
    <row r="89" spans="1:1">
      <c r="A89" s="82" t="s">
        <v>392</v>
      </c>
    </row>
    <row r="90" spans="1:1">
      <c r="A90" s="85"/>
    </row>
    <row r="91" spans="1:1">
      <c r="A91" s="82" t="s">
        <v>447</v>
      </c>
    </row>
    <row r="92" spans="1:1">
      <c r="A92" s="82" t="s">
        <v>448</v>
      </c>
    </row>
    <row r="93" spans="1:1">
      <c r="A93" s="82" t="s">
        <v>449</v>
      </c>
    </row>
    <row r="94" spans="1:1">
      <c r="A94" s="85"/>
    </row>
    <row r="95" spans="1:1">
      <c r="A95" s="82" t="s">
        <v>450</v>
      </c>
    </row>
    <row r="96" spans="1:1">
      <c r="A96" s="82" t="s">
        <v>451</v>
      </c>
    </row>
    <row r="97" spans="1:1">
      <c r="A97" s="82" t="s">
        <v>361</v>
      </c>
    </row>
    <row r="98" spans="1:1">
      <c r="A98" s="82" t="s">
        <v>452</v>
      </c>
    </row>
    <row r="99" spans="1:1">
      <c r="A99" s="82" t="s">
        <v>453</v>
      </c>
    </row>
    <row r="100" spans="1:1">
      <c r="A100" s="82" t="s">
        <v>454</v>
      </c>
    </row>
    <row r="101" spans="1:1">
      <c r="A101" s="82" t="s">
        <v>455</v>
      </c>
    </row>
    <row r="102" spans="1:1">
      <c r="A102" s="82" t="s">
        <v>389</v>
      </c>
    </row>
    <row r="103" spans="1:1">
      <c r="A103" s="82" t="s">
        <v>392</v>
      </c>
    </row>
    <row r="104" spans="1:1">
      <c r="A104" s="85"/>
    </row>
    <row r="105" spans="1:1">
      <c r="A105" s="82" t="s">
        <v>456</v>
      </c>
    </row>
    <row r="106" spans="1:1">
      <c r="A106" s="82" t="s">
        <v>411</v>
      </c>
    </row>
    <row r="107" spans="1:1">
      <c r="A107" s="82" t="s">
        <v>412</v>
      </c>
    </row>
    <row r="108" spans="1:1">
      <c r="A108" s="82" t="s">
        <v>413</v>
      </c>
    </row>
    <row r="109" spans="1:1">
      <c r="A109" s="82" t="s">
        <v>414</v>
      </c>
    </row>
    <row r="110" spans="1:1">
      <c r="A110" s="85"/>
    </row>
    <row r="111" spans="1:1">
      <c r="A111" s="82" t="s">
        <v>457</v>
      </c>
    </row>
    <row r="112" spans="1:1">
      <c r="A112" s="82" t="s">
        <v>458</v>
      </c>
    </row>
    <row r="113" spans="1:1">
      <c r="A113" s="82" t="s">
        <v>414</v>
      </c>
    </row>
    <row r="114" spans="1:1">
      <c r="A114" s="82" t="s">
        <v>459</v>
      </c>
    </row>
    <row r="115" spans="1:1">
      <c r="A115" s="82" t="s">
        <v>460</v>
      </c>
    </row>
    <row r="116" spans="1:1">
      <c r="A116" s="82" t="s">
        <v>392</v>
      </c>
    </row>
    <row r="117" spans="1:1">
      <c r="A117" s="85"/>
    </row>
    <row r="118" spans="1:1">
      <c r="A118" s="82" t="s">
        <v>461</v>
      </c>
    </row>
    <row r="119" spans="1:1">
      <c r="A119" s="82" t="s">
        <v>462</v>
      </c>
    </row>
    <row r="120" spans="1:1">
      <c r="A120" s="83" t="s">
        <v>421</v>
      </c>
    </row>
    <row r="121" spans="1:1">
      <c r="A121" s="86" t="s">
        <v>422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9EE-DA02-4D2F-9300-5DCA16617972}">
  <dimension ref="A1:A52"/>
  <sheetViews>
    <sheetView workbookViewId="0"/>
  </sheetViews>
  <sheetFormatPr defaultRowHeight="12.45"/>
  <sheetData>
    <row r="1" spans="1:1">
      <c r="A1" s="83" t="s">
        <v>487</v>
      </c>
    </row>
    <row r="2" spans="1:1">
      <c r="A2" s="82" t="s">
        <v>464</v>
      </c>
    </row>
    <row r="3" spans="1:1">
      <c r="A3" s="82" t="s">
        <v>330</v>
      </c>
    </row>
    <row r="4" spans="1:1">
      <c r="A4" s="82" t="s">
        <v>465</v>
      </c>
    </row>
    <row r="5" spans="1:1">
      <c r="A5" s="84" t="s">
        <v>344</v>
      </c>
    </row>
    <row r="6" spans="1:1">
      <c r="A6" s="82" t="s">
        <v>466</v>
      </c>
    </row>
    <row r="7" spans="1:1">
      <c r="A7" s="82" t="s">
        <v>346</v>
      </c>
    </row>
    <row r="8" spans="1:1">
      <c r="A8" s="82" t="s">
        <v>467</v>
      </c>
    </row>
    <row r="9" spans="1:1">
      <c r="A9" s="82" t="s">
        <v>425</v>
      </c>
    </row>
    <row r="10" spans="1:1">
      <c r="A10" s="82" t="s">
        <v>349</v>
      </c>
    </row>
    <row r="11" spans="1:1">
      <c r="A11" s="82" t="s">
        <v>468</v>
      </c>
    </row>
    <row r="12" spans="1:1">
      <c r="A12" s="82" t="s">
        <v>469</v>
      </c>
    </row>
    <row r="13" spans="1:1">
      <c r="A13" s="82" t="s">
        <v>470</v>
      </c>
    </row>
    <row r="14" spans="1:1">
      <c r="A14" s="82" t="s">
        <v>471</v>
      </c>
    </row>
    <row r="15" spans="1:1">
      <c r="A15" s="82" t="s">
        <v>472</v>
      </c>
    </row>
    <row r="16" spans="1:1">
      <c r="A16" s="82" t="s">
        <v>473</v>
      </c>
    </row>
    <row r="17" spans="1:1">
      <c r="A17" s="82" t="s">
        <v>474</v>
      </c>
    </row>
    <row r="18" spans="1:1">
      <c r="A18" s="82" t="s">
        <v>475</v>
      </c>
    </row>
    <row r="19" spans="1:1">
      <c r="A19" s="85"/>
    </row>
    <row r="20" spans="1:1">
      <c r="A20" s="82" t="s">
        <v>476</v>
      </c>
    </row>
    <row r="21" spans="1:1">
      <c r="A21" s="82" t="s">
        <v>445</v>
      </c>
    </row>
    <row r="22" spans="1:1">
      <c r="A22" s="82" t="s">
        <v>446</v>
      </c>
    </row>
    <row r="23" spans="1:1">
      <c r="A23" s="82" t="s">
        <v>477</v>
      </c>
    </row>
    <row r="24" spans="1:1">
      <c r="A24" s="85"/>
    </row>
    <row r="25" spans="1:1">
      <c r="A25" s="82" t="s">
        <v>478</v>
      </c>
    </row>
    <row r="26" spans="1:1">
      <c r="A26" s="82" t="s">
        <v>479</v>
      </c>
    </row>
    <row r="27" spans="1:1">
      <c r="A27" s="82" t="s">
        <v>480</v>
      </c>
    </row>
    <row r="28" spans="1:1">
      <c r="A28" s="82" t="s">
        <v>481</v>
      </c>
    </row>
    <row r="29" spans="1:1">
      <c r="A29" s="82" t="s">
        <v>477</v>
      </c>
    </row>
    <row r="30" spans="1:1">
      <c r="A30" s="85"/>
    </row>
    <row r="31" spans="1:1">
      <c r="A31" s="82" t="s">
        <v>482</v>
      </c>
    </row>
    <row r="32" spans="1:1">
      <c r="A32" s="82" t="s">
        <v>483</v>
      </c>
    </row>
    <row r="33" spans="1:1">
      <c r="A33" s="82" t="s">
        <v>472</v>
      </c>
    </row>
    <row r="34" spans="1:1">
      <c r="A34" s="82" t="s">
        <v>484</v>
      </c>
    </row>
    <row r="35" spans="1:1">
      <c r="A35" s="85"/>
    </row>
    <row r="36" spans="1:1">
      <c r="A36" s="82" t="s">
        <v>456</v>
      </c>
    </row>
    <row r="37" spans="1:1">
      <c r="A37" s="82" t="s">
        <v>411</v>
      </c>
    </row>
    <row r="38" spans="1:1">
      <c r="A38" s="82" t="s">
        <v>412</v>
      </c>
    </row>
    <row r="39" spans="1:1">
      <c r="A39" s="82" t="s">
        <v>413</v>
      </c>
    </row>
    <row r="40" spans="1:1">
      <c r="A40" s="82" t="s">
        <v>414</v>
      </c>
    </row>
    <row r="41" spans="1:1">
      <c r="A41" s="85"/>
    </row>
    <row r="42" spans="1:1">
      <c r="A42" s="82" t="s">
        <v>457</v>
      </c>
    </row>
    <row r="43" spans="1:1">
      <c r="A43" s="82" t="s">
        <v>458</v>
      </c>
    </row>
    <row r="44" spans="1:1">
      <c r="A44" s="82" t="s">
        <v>414</v>
      </c>
    </row>
    <row r="45" spans="1:1">
      <c r="A45" s="82" t="s">
        <v>459</v>
      </c>
    </row>
    <row r="46" spans="1:1">
      <c r="A46" s="82" t="s">
        <v>460</v>
      </c>
    </row>
    <row r="47" spans="1:1">
      <c r="A47" s="82" t="s">
        <v>392</v>
      </c>
    </row>
    <row r="48" spans="1:1">
      <c r="A48" s="85"/>
    </row>
    <row r="49" spans="1:1">
      <c r="A49" s="82" t="s">
        <v>461</v>
      </c>
    </row>
    <row r="50" spans="1:1">
      <c r="A50" s="82" t="s">
        <v>485</v>
      </c>
    </row>
    <row r="51" spans="1:1">
      <c r="A51" s="83" t="s">
        <v>486</v>
      </c>
    </row>
    <row r="52" spans="1:1">
      <c r="A52" s="86" t="s">
        <v>422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999"/>
  <sheetViews>
    <sheetView zoomScale="115" zoomScaleNormal="115" workbookViewId="0">
      <selection activeCell="K17" sqref="K17"/>
    </sheetView>
  </sheetViews>
  <sheetFormatPr defaultColWidth="1.3046875" defaultRowHeight="15" customHeight="1"/>
  <cols>
    <col min="1" max="1" width="1.3046875" style="5"/>
    <col min="2" max="2" width="3.53515625" style="5" bestFit="1" customWidth="1"/>
    <col min="3" max="4" width="13.84375" style="5" bestFit="1" customWidth="1"/>
    <col min="5" max="6" width="8.84375" style="5" bestFit="1" customWidth="1"/>
    <col min="7" max="7" width="7.53515625" style="5" bestFit="1" customWidth="1"/>
    <col min="8" max="8" width="3.53515625" style="5" bestFit="1" customWidth="1"/>
    <col min="9" max="9" width="8.84375" style="5" bestFit="1" customWidth="1"/>
    <col min="10" max="10" width="12.84375" style="5" bestFit="1" customWidth="1"/>
    <col min="11" max="11" width="14.23046875" style="5" bestFit="1" customWidth="1"/>
    <col min="12" max="12" width="7" style="5" bestFit="1" customWidth="1"/>
    <col min="13" max="13" width="1.3046875" style="5"/>
    <col min="14" max="14" width="10.84375" style="5" bestFit="1" customWidth="1"/>
    <col min="15" max="16384" width="1.3046875" style="5"/>
  </cols>
  <sheetData>
    <row r="1" spans="1:18" ht="15.7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ht="15.75" customHeight="1">
      <c r="A2" s="6"/>
      <c r="B2" s="66" t="s">
        <v>8</v>
      </c>
      <c r="C2" s="58"/>
      <c r="D2" s="67" t="s">
        <v>8</v>
      </c>
      <c r="E2" s="48"/>
      <c r="F2" s="48"/>
      <c r="G2" s="48"/>
      <c r="H2" s="49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 ht="15.75" customHeight="1">
      <c r="A3" s="6"/>
      <c r="B3" s="66" t="s">
        <v>9</v>
      </c>
      <c r="C3" s="58"/>
      <c r="D3" s="68" t="s">
        <v>43</v>
      </c>
      <c r="E3" s="57"/>
      <c r="F3" s="57"/>
      <c r="G3" s="57"/>
      <c r="H3" s="58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5.75" customHeight="1">
      <c r="A4" s="6"/>
      <c r="B4" s="69" t="s">
        <v>11</v>
      </c>
      <c r="C4" s="63"/>
      <c r="D4" s="70"/>
      <c r="E4" s="65"/>
      <c r="F4" s="65"/>
      <c r="G4" s="65"/>
      <c r="H4" s="63"/>
      <c r="I4" s="3"/>
      <c r="J4" s="3"/>
      <c r="K4" s="3"/>
      <c r="L4" s="3"/>
      <c r="M4" s="3"/>
      <c r="N4" s="3"/>
      <c r="O4" s="3"/>
      <c r="P4" s="3"/>
      <c r="Q4" s="3"/>
      <c r="R4" s="4"/>
    </row>
    <row r="5" spans="1:18" ht="15.75" customHeight="1">
      <c r="A5" s="6"/>
      <c r="B5" s="57"/>
      <c r="C5" s="58"/>
      <c r="D5" s="57"/>
      <c r="E5" s="57"/>
      <c r="F5" s="57"/>
      <c r="G5" s="57"/>
      <c r="H5" s="58"/>
      <c r="I5" s="3"/>
      <c r="J5" s="3"/>
      <c r="K5" s="3"/>
      <c r="L5" s="3"/>
      <c r="M5" s="3"/>
      <c r="N5" s="3"/>
      <c r="O5" s="3"/>
      <c r="P5" s="3"/>
      <c r="Q5" s="3"/>
      <c r="R5" s="4"/>
    </row>
    <row r="6" spans="1:18" ht="15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</row>
    <row r="7" spans="1:18" ht="15.75" customHeight="1">
      <c r="A7" s="6"/>
      <c r="B7" s="9" t="s">
        <v>12</v>
      </c>
      <c r="C7" s="9" t="s">
        <v>7</v>
      </c>
      <c r="D7" s="9" t="s">
        <v>6</v>
      </c>
      <c r="E7" s="9" t="s">
        <v>13</v>
      </c>
      <c r="F7" s="9" t="s">
        <v>14</v>
      </c>
      <c r="G7" s="71" t="s">
        <v>15</v>
      </c>
      <c r="H7" s="58"/>
      <c r="I7" s="9" t="s">
        <v>16</v>
      </c>
      <c r="J7" s="9" t="s">
        <v>17</v>
      </c>
      <c r="K7" s="9" t="s">
        <v>18</v>
      </c>
      <c r="L7" s="9" t="s">
        <v>19</v>
      </c>
      <c r="M7" s="71" t="s">
        <v>20</v>
      </c>
      <c r="N7" s="57"/>
      <c r="O7" s="57"/>
      <c r="P7" s="57"/>
      <c r="Q7" s="58"/>
      <c r="R7" s="4"/>
    </row>
    <row r="8" spans="1:18" ht="15.75" customHeight="1">
      <c r="A8" s="6"/>
      <c r="B8" s="10">
        <f>ROW()-7</f>
        <v>1</v>
      </c>
      <c r="C8" s="11" t="s">
        <v>21</v>
      </c>
      <c r="D8" s="11" t="s">
        <v>22</v>
      </c>
      <c r="E8" s="11"/>
      <c r="F8" s="12" t="s">
        <v>23</v>
      </c>
      <c r="G8" s="11" t="s">
        <v>24</v>
      </c>
      <c r="H8" s="13">
        <v>20</v>
      </c>
      <c r="I8" s="11"/>
      <c r="J8" s="12"/>
      <c r="K8" s="12" t="s">
        <v>25</v>
      </c>
      <c r="L8" s="11"/>
      <c r="M8" s="72"/>
      <c r="N8" s="57"/>
      <c r="O8" s="57"/>
      <c r="P8" s="57"/>
      <c r="Q8" s="58"/>
      <c r="R8" s="4"/>
    </row>
    <row r="9" spans="1:18" ht="15.75" customHeight="1">
      <c r="A9" s="6"/>
      <c r="B9" s="10">
        <f>ROW()-7</f>
        <v>2</v>
      </c>
      <c r="C9" s="14"/>
      <c r="D9" s="14"/>
      <c r="E9" s="14"/>
      <c r="F9" s="12"/>
      <c r="G9" s="14"/>
      <c r="H9" s="14"/>
      <c r="I9" s="14"/>
      <c r="J9" s="14"/>
      <c r="K9" s="12"/>
      <c r="L9" s="14"/>
      <c r="M9" s="72"/>
      <c r="N9" s="57"/>
      <c r="O9" s="57"/>
      <c r="P9" s="57"/>
      <c r="Q9" s="58"/>
      <c r="R9" s="4"/>
    </row>
    <row r="10" spans="1:18" ht="15.75" customHeight="1">
      <c r="B10" s="10">
        <f t="shared" ref="B10:B22" si="0">ROW()-7</f>
        <v>3</v>
      </c>
      <c r="C10" s="14"/>
      <c r="D10" s="14"/>
      <c r="E10" s="14"/>
      <c r="F10" s="14"/>
      <c r="G10" s="14"/>
      <c r="H10" s="14"/>
      <c r="I10" s="14"/>
      <c r="J10" s="14"/>
      <c r="K10" s="12"/>
      <c r="L10" s="14"/>
      <c r="M10" s="73"/>
      <c r="N10" s="48"/>
      <c r="O10" s="48"/>
      <c r="P10" s="48"/>
      <c r="Q10" s="49"/>
      <c r="R10" s="4"/>
    </row>
    <row r="11" spans="1:18" ht="15.75" customHeight="1">
      <c r="B11" s="10">
        <f t="shared" si="0"/>
        <v>4</v>
      </c>
      <c r="C11" s="11"/>
      <c r="D11" s="11"/>
      <c r="E11" s="11"/>
      <c r="F11" s="12"/>
      <c r="G11" s="11"/>
      <c r="H11" s="11"/>
      <c r="I11" s="11"/>
      <c r="J11" s="12"/>
      <c r="K11" s="12"/>
      <c r="L11" s="11"/>
      <c r="M11" s="73"/>
      <c r="N11" s="48"/>
      <c r="O11" s="48"/>
      <c r="P11" s="48"/>
      <c r="Q11" s="49"/>
      <c r="R11" s="4"/>
    </row>
    <row r="12" spans="1:18" ht="15.75" customHeight="1">
      <c r="B12" s="10">
        <f t="shared" si="0"/>
        <v>5</v>
      </c>
      <c r="C12" s="11"/>
      <c r="D12" s="15"/>
      <c r="E12" s="15"/>
      <c r="F12" s="12"/>
      <c r="G12" s="15"/>
      <c r="H12" s="15"/>
      <c r="I12" s="15"/>
      <c r="J12" s="16"/>
      <c r="K12" s="12"/>
      <c r="L12" s="15"/>
      <c r="M12" s="73"/>
      <c r="N12" s="48"/>
      <c r="O12" s="48"/>
      <c r="P12" s="48"/>
      <c r="Q12" s="49"/>
      <c r="R12" s="4"/>
    </row>
    <row r="13" spans="1:18" ht="15.75" customHeight="1">
      <c r="B13" s="10">
        <f t="shared" si="0"/>
        <v>6</v>
      </c>
      <c r="C13" s="11"/>
      <c r="D13" s="11"/>
      <c r="E13" s="11"/>
      <c r="F13" s="11"/>
      <c r="G13" s="11"/>
      <c r="H13" s="13"/>
      <c r="I13" s="11"/>
      <c r="J13" s="12"/>
      <c r="K13" s="12"/>
      <c r="L13" s="11"/>
      <c r="M13" s="73"/>
      <c r="N13" s="48"/>
      <c r="O13" s="48"/>
      <c r="P13" s="48"/>
      <c r="Q13" s="49"/>
      <c r="R13" s="4"/>
    </row>
    <row r="14" spans="1:18" ht="15.75" customHeight="1">
      <c r="B14" s="10">
        <f t="shared" si="0"/>
        <v>7</v>
      </c>
      <c r="C14" s="11"/>
      <c r="D14" s="11"/>
      <c r="E14" s="11"/>
      <c r="F14" s="11"/>
      <c r="G14" s="11"/>
      <c r="H14" s="13"/>
      <c r="I14" s="11"/>
      <c r="J14" s="12"/>
      <c r="K14" s="12"/>
      <c r="L14" s="11"/>
      <c r="M14" s="73"/>
      <c r="N14" s="48"/>
      <c r="O14" s="48"/>
      <c r="P14" s="48"/>
      <c r="Q14" s="49"/>
      <c r="R14" s="4"/>
    </row>
    <row r="15" spans="1:18" ht="15.75" customHeight="1">
      <c r="B15" s="10">
        <f t="shared" si="0"/>
        <v>8</v>
      </c>
      <c r="C15" s="11"/>
      <c r="D15" s="11"/>
      <c r="E15" s="11"/>
      <c r="F15" s="11"/>
      <c r="G15" s="11"/>
      <c r="H15" s="11"/>
      <c r="I15" s="11"/>
      <c r="J15" s="12"/>
      <c r="K15" s="11"/>
      <c r="L15" s="11"/>
      <c r="M15" s="72"/>
      <c r="N15" s="57"/>
      <c r="O15" s="57"/>
      <c r="P15" s="57"/>
      <c r="Q15" s="58"/>
      <c r="R15" s="4"/>
    </row>
    <row r="16" spans="1:18" ht="15.75" customHeight="1">
      <c r="B16" s="10">
        <f t="shared" si="0"/>
        <v>9</v>
      </c>
      <c r="C16" s="11"/>
      <c r="D16" s="11"/>
      <c r="E16" s="11"/>
      <c r="F16" s="11"/>
      <c r="G16" s="11"/>
      <c r="H16" s="13"/>
      <c r="I16" s="11"/>
      <c r="J16" s="12"/>
      <c r="K16" s="11"/>
      <c r="L16" s="11"/>
      <c r="M16" s="72"/>
      <c r="N16" s="57"/>
      <c r="O16" s="57"/>
      <c r="P16" s="57"/>
      <c r="Q16" s="58"/>
      <c r="R16" s="4"/>
    </row>
    <row r="17" spans="2:18" ht="15.75" customHeight="1">
      <c r="B17" s="10">
        <f t="shared" si="0"/>
        <v>10</v>
      </c>
      <c r="C17" s="11" t="s">
        <v>26</v>
      </c>
      <c r="D17" s="11" t="s">
        <v>27</v>
      </c>
      <c r="E17" s="11"/>
      <c r="F17" s="11"/>
      <c r="G17" s="11" t="s">
        <v>24</v>
      </c>
      <c r="H17" s="13"/>
      <c r="I17" s="11"/>
      <c r="J17" s="12"/>
      <c r="K17" s="11"/>
      <c r="L17" s="11"/>
      <c r="M17" s="72"/>
      <c r="N17" s="57"/>
      <c r="O17" s="57"/>
      <c r="P17" s="57"/>
      <c r="Q17" s="58"/>
      <c r="R17" s="4"/>
    </row>
    <row r="18" spans="2:18" ht="15.75" customHeight="1">
      <c r="B18" s="10">
        <f t="shared" si="0"/>
        <v>11</v>
      </c>
      <c r="C18" s="11" t="s">
        <v>28</v>
      </c>
      <c r="D18" s="11" t="s">
        <v>29</v>
      </c>
      <c r="E18" s="11"/>
      <c r="F18" s="11"/>
      <c r="G18" s="11" t="s">
        <v>30</v>
      </c>
      <c r="H18" s="13"/>
      <c r="I18" s="11"/>
      <c r="J18" s="12"/>
      <c r="K18" s="11"/>
      <c r="L18" s="11"/>
      <c r="M18" s="72" t="s">
        <v>31</v>
      </c>
      <c r="N18" s="57"/>
      <c r="O18" s="57"/>
      <c r="P18" s="57"/>
      <c r="Q18" s="58"/>
      <c r="R18" s="4"/>
    </row>
    <row r="19" spans="2:18" ht="15.75" customHeight="1">
      <c r="B19" s="10">
        <f t="shared" si="0"/>
        <v>12</v>
      </c>
      <c r="C19" s="11" t="s">
        <v>32</v>
      </c>
      <c r="D19" s="11" t="s">
        <v>33</v>
      </c>
      <c r="E19" s="11"/>
      <c r="F19" s="11"/>
      <c r="G19" s="11" t="s">
        <v>24</v>
      </c>
      <c r="H19" s="13"/>
      <c r="I19" s="11"/>
      <c r="J19" s="12"/>
      <c r="K19" s="11"/>
      <c r="L19" s="11"/>
      <c r="M19" s="72"/>
      <c r="N19" s="57"/>
      <c r="O19" s="57"/>
      <c r="P19" s="57"/>
      <c r="Q19" s="58"/>
      <c r="R19" s="4"/>
    </row>
    <row r="20" spans="2:18" ht="15.75" customHeight="1">
      <c r="B20" s="10">
        <f t="shared" si="0"/>
        <v>13</v>
      </c>
      <c r="C20" s="11" t="s">
        <v>34</v>
      </c>
      <c r="D20" s="11" t="s">
        <v>35</v>
      </c>
      <c r="E20" s="11"/>
      <c r="F20" s="11"/>
      <c r="G20" s="11" t="s">
        <v>30</v>
      </c>
      <c r="H20" s="13"/>
      <c r="I20" s="11"/>
      <c r="J20" s="12"/>
      <c r="K20" s="11"/>
      <c r="L20" s="11"/>
      <c r="M20" s="72" t="s">
        <v>31</v>
      </c>
      <c r="N20" s="57"/>
      <c r="O20" s="57"/>
      <c r="P20" s="57"/>
      <c r="Q20" s="58"/>
      <c r="R20" s="4"/>
    </row>
    <row r="21" spans="2:18" ht="15.75" customHeight="1">
      <c r="B21" s="10">
        <f t="shared" si="0"/>
        <v>14</v>
      </c>
      <c r="C21" s="17" t="s">
        <v>36</v>
      </c>
      <c r="D21" s="17" t="s">
        <v>37</v>
      </c>
      <c r="E21" s="17"/>
      <c r="F21" s="17"/>
      <c r="G21" s="17" t="s">
        <v>38</v>
      </c>
      <c r="H21" s="18" t="s">
        <v>39</v>
      </c>
      <c r="I21" s="17"/>
      <c r="J21" s="19"/>
      <c r="K21" s="11"/>
      <c r="L21" s="11"/>
      <c r="M21" s="72"/>
      <c r="N21" s="57"/>
      <c r="O21" s="57"/>
      <c r="P21" s="57"/>
      <c r="Q21" s="58"/>
      <c r="R21" s="4"/>
    </row>
    <row r="22" spans="2:18" ht="15.75" customHeight="1">
      <c r="B22" s="10">
        <f t="shared" si="0"/>
        <v>15</v>
      </c>
      <c r="C22" s="11" t="s">
        <v>1</v>
      </c>
      <c r="D22" s="11" t="s">
        <v>40</v>
      </c>
      <c r="E22" s="11"/>
      <c r="F22" s="11"/>
      <c r="G22" s="11" t="s">
        <v>38</v>
      </c>
      <c r="H22" s="13" t="s">
        <v>39</v>
      </c>
      <c r="I22" s="11"/>
      <c r="J22" s="12"/>
      <c r="K22" s="11"/>
      <c r="L22" s="11"/>
      <c r="M22" s="72"/>
      <c r="N22" s="57"/>
      <c r="O22" s="57"/>
      <c r="P22" s="57"/>
      <c r="Q22" s="58"/>
      <c r="R22" s="4"/>
    </row>
    <row r="23" spans="2:18" ht="15.75" customHeight="1">
      <c r="R23" s="4"/>
    </row>
    <row r="24" spans="2:18" ht="15.75" customHeight="1">
      <c r="R24" s="4"/>
    </row>
    <row r="25" spans="2:18" ht="15.75" customHeight="1">
      <c r="R25" s="4"/>
    </row>
    <row r="26" spans="2:18" ht="15.75" customHeight="1">
      <c r="R26" s="4"/>
    </row>
    <row r="27" spans="2:18" ht="15.75" customHeight="1">
      <c r="R27" s="4"/>
    </row>
    <row r="28" spans="2:18" ht="15.75" customHeight="1">
      <c r="R28" s="4"/>
    </row>
    <row r="29" spans="2:18" ht="15.75" customHeight="1">
      <c r="R29" s="4"/>
    </row>
    <row r="30" spans="2:18" ht="15.75" customHeight="1">
      <c r="R30" s="4"/>
    </row>
    <row r="31" spans="2:18" ht="15.75" customHeight="1">
      <c r="R31" s="4"/>
    </row>
    <row r="32" spans="2:18" ht="15.75" customHeight="1">
      <c r="R32" s="4"/>
    </row>
    <row r="33" spans="1:18" ht="15.75" customHeight="1">
      <c r="R33" s="4"/>
    </row>
    <row r="34" spans="1:18" ht="15.75" customHeight="1">
      <c r="R34" s="4"/>
    </row>
    <row r="35" spans="1:18" ht="15.75" customHeight="1">
      <c r="R35" s="4"/>
    </row>
    <row r="36" spans="1:18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0"/>
    </row>
    <row r="37" spans="1:18" ht="15.75" customHeight="1"/>
    <row r="38" spans="1:18" ht="15.75" customHeight="1"/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3">
    <mergeCell ref="M11:Q11"/>
    <mergeCell ref="M12:Q12"/>
    <mergeCell ref="M13:Q13"/>
    <mergeCell ref="M21:Q21"/>
    <mergeCell ref="M22:Q22"/>
    <mergeCell ref="M14:Q14"/>
    <mergeCell ref="M15:Q15"/>
    <mergeCell ref="M16:Q16"/>
    <mergeCell ref="M17:Q17"/>
    <mergeCell ref="M18:Q18"/>
    <mergeCell ref="M19:Q19"/>
    <mergeCell ref="M20:Q20"/>
    <mergeCell ref="G7:H7"/>
    <mergeCell ref="M7:Q7"/>
    <mergeCell ref="M8:Q8"/>
    <mergeCell ref="M9:Q9"/>
    <mergeCell ref="M10:Q10"/>
    <mergeCell ref="B2:C2"/>
    <mergeCell ref="D2:H2"/>
    <mergeCell ref="B3:C3"/>
    <mergeCell ref="D3:H3"/>
    <mergeCell ref="B4:C5"/>
    <mergeCell ref="D4:H5"/>
  </mergeCells>
  <phoneticPr fontId="2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更新履歴</vt:lpstr>
      <vt:lpstr>Sheet1</vt:lpstr>
      <vt:lpstr>Sheet2</vt:lpstr>
      <vt:lpstr>テーブル一覧</vt:lpstr>
      <vt:lpstr>accounts</vt:lpstr>
      <vt:lpstr>sector_industry_master</vt:lpstr>
      <vt:lpstr>stocks</vt:lpstr>
      <vt:lpstr>stock_prices</vt:lpstr>
      <vt:lpstr>trade_records</vt:lpstr>
      <vt:lpstr>trade_sell_mappings</vt:lpstr>
      <vt:lpstr>account_balances</vt:lpstr>
      <vt:lpstr>cash_transactions</vt:lpstr>
      <vt:lpstr>custom_asset_categories</vt:lpstr>
      <vt:lpstr>custom_assets</vt:lpstr>
      <vt:lpstr>custom_asset_history</vt:lpstr>
      <vt:lpstr>fx_pairs</vt:lpstr>
      <vt:lpstr>fx_rates</vt:lpstr>
      <vt:lpstr>insert_trade_and_update_account</vt:lpstr>
      <vt:lpstr>update_trade_and_update_account</vt:lpstr>
      <vt:lpstr>delete_trade_and_update_account</vt:lpstr>
      <vt:lpstr>テーブル定義テンプレート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Qian Xiong</cp:lastModifiedBy>
  <cp:revision/>
  <dcterms:created xsi:type="dcterms:W3CDTF">2024-03-07T08:22:45Z</dcterms:created>
  <dcterms:modified xsi:type="dcterms:W3CDTF">2026-02-14T03:49:37Z</dcterms:modified>
  <cp:category/>
  <cp:contentStatus/>
</cp:coreProperties>
</file>